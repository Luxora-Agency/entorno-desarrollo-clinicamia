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DAD INSTALADA" sheetId="1" r:id="rId4"/>
    <sheet state="visible" name="OFERTA" sheetId="2" r:id="rId5"/>
  </sheets>
  <definedNames>
    <definedName name="LOCAL_DATE_SEPARATOR">#REF!</definedName>
    <definedName name="LOCAL_TIME_SEPARATOR">#REF!</definedName>
    <definedName name="LOCAL_MONTH_FORMAT">#REF!</definedName>
    <definedName name="LOCAL_MINUTE_FORMAT">#REF!</definedName>
    <definedName name="LOCAL_YEAR_FORMAT">#REF!</definedName>
    <definedName name="LOCAL_SECOND_FORMAT">#REF!</definedName>
    <definedName name="LOCAL_DAY_FORMAT">#REF!</definedName>
    <definedName name="LOCAL_HOUR_FORMAT">#REF!</definedName>
  </definedNames>
  <calcPr/>
  <extLst>
    <ext uri="GoogleSheetsCustomDataVersion2">
      <go:sheetsCustomData xmlns:go="http://customooxmlschemas.google.com/" r:id="rId6" roundtripDataChecksum="uDmc7O8rgUJWyQyw8EZS+0oEHO7/Wx3ZH5Ezwar8ZUQ="/>
    </ext>
  </extLst>
</workbook>
</file>

<file path=xl/sharedStrings.xml><?xml version="1.0" encoding="utf-8"?>
<sst xmlns="http://schemas.openxmlformats.org/spreadsheetml/2006/main" count="42" uniqueCount="34">
  <si>
    <t>ANÁLISIS CAPACIDAD INSTALADA</t>
  </si>
  <si>
    <t>Código: EH-F-005</t>
  </si>
  <si>
    <t>Emisión: Julio 2025</t>
  </si>
  <si>
    <t>Versión: 2</t>
  </si>
  <si>
    <t>SERVICIO</t>
  </si>
  <si>
    <t xml:space="preserve">PROFESIONAL </t>
  </si>
  <si>
    <t xml:space="preserve">AMBIENTES </t>
  </si>
  <si>
    <t>NÚMERO DE ESQUIPOS/ AMBIENTE</t>
  </si>
  <si>
    <t>DURACIÓN EN PROMEDIO DE CONSULTA/PROCEDIMIENTOS REALIZADOS (MINUTOS)</t>
  </si>
  <si>
    <t xml:space="preserve">TOTAL PACIENTES ATENDIDOS POR HORA </t>
  </si>
  <si>
    <t>TOTAL DE PACIENTES QUE SE PUEDEN ATENDER EN EL DIA</t>
  </si>
  <si>
    <t>TOTAL DE PACIENTES QUE SE PUEDEN ATENDER EN LA SEMANA</t>
  </si>
  <si>
    <t>TOTAL DE PACIENTES QUE SE PUEDEN ATENDER EN EL MES</t>
  </si>
  <si>
    <t>ENDOCRINOLOGÍA Y ENDOCRINOLOGIA PEDIATRICA</t>
  </si>
  <si>
    <t>Medico Especialista en Endocrinología y Endocrinologia pediatrica</t>
  </si>
  <si>
    <t>Consultorio 2</t>
  </si>
  <si>
    <t>NUTRICIÓN</t>
  </si>
  <si>
    <t>Profesional en Nutrición</t>
  </si>
  <si>
    <t>Consultorio 1 y 3</t>
  </si>
  <si>
    <t>MEDICINA DEL DEPORTE</t>
  </si>
  <si>
    <t>Medico especialista en Medicina del deporte</t>
  </si>
  <si>
    <t>TOTAL DE CONSULTAS QUE SE PUEDEN ATENDER MENSUALMENTE EN LAS INSTALACIONES</t>
  </si>
  <si>
    <t>OFERTA</t>
  </si>
  <si>
    <t>SERVICO</t>
  </si>
  <si>
    <t>PROFESIONAL (CARGO)</t>
  </si>
  <si>
    <t>NÚMERO PROFESIONALES</t>
  </si>
  <si>
    <t>HORAS TRABAJO DISPONIBLES POR SEMANA</t>
  </si>
  <si>
    <t>TIEMPO POR ACTIVIDAD (MINUTOS)</t>
  </si>
  <si>
    <t>NUMERO DE PACIENTES A ATENDER POR HORA</t>
  </si>
  <si>
    <t xml:space="preserve">PACIENTES ATENDIDOS POR SEMANA </t>
  </si>
  <si>
    <t>TOTAL DE PACIENTES A ATENDER EN EL MES</t>
  </si>
  <si>
    <t>TOTAL</t>
  </si>
  <si>
    <t>TOTAL PACIENTES QUE SE PUEDEN ATENDER MENSUALMENTE CON EL TALENTO HUMANO</t>
  </si>
  <si>
    <t>TOTAL PACIENTES ATENDIDOS MES ANTERIOR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</si>
</sst>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\ &quot;Consultorio&quot;"/>
  </numFmts>
  <fonts count="9">
    <font>
      <sz val="11.0"/>
      <color theme="1"/>
      <name val="Calibri"/>
      <scheme val="minor"/>
    </font>
    <font>
      <sz val="11.0"/>
      <color theme="1"/>
      <name val="Century Gothic"/>
    </font>
    <font/>
    <font>
      <b/>
      <sz val="31.0"/>
      <color theme="1"/>
      <name val="Century Gothic"/>
    </font>
    <font>
      <b/>
      <sz val="14.0"/>
      <color theme="1"/>
      <name val="Century Gothic"/>
    </font>
    <font>
      <b/>
      <sz val="11.0"/>
      <color theme="1"/>
      <name val="Century Gothic"/>
    </font>
    <font>
      <b/>
      <sz val="11.0"/>
      <color rgb="FFFFFFFF"/>
      <name val="Century Gothic"/>
    </font>
    <font>
      <sz val="12.0"/>
      <color theme="1"/>
      <name val="Century Gothic"/>
    </font>
    <font>
      <b/>
      <sz val="36.0"/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324054"/>
        <bgColor rgb="FF324054"/>
      </patternFill>
    </fill>
    <fill>
      <patternFill patternType="solid">
        <fgColor theme="0"/>
        <bgColor theme="0"/>
      </patternFill>
    </fill>
    <fill>
      <patternFill patternType="solid">
        <fgColor rgb="FFCBD7E8"/>
        <bgColor rgb="FFCBD7E8"/>
      </patternFill>
    </fill>
  </fills>
  <borders count="2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4" fillId="0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12" fillId="2" fontId="6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2" fillId="3" fontId="7" numFmtId="0" xfId="0" applyAlignment="1" applyBorder="1" applyFill="1" applyFont="1">
      <alignment horizontal="center" readingOrder="0" shrinkToFit="0" vertical="center" wrapText="1"/>
    </xf>
    <xf borderId="12" fillId="4" fontId="7" numFmtId="164" xfId="0" applyAlignment="1" applyBorder="1" applyFill="1" applyFont="1" applyNumberFormat="1">
      <alignment horizontal="center" readingOrder="0" shrinkToFit="0" vertical="center" wrapText="1"/>
    </xf>
    <xf borderId="12" fillId="3" fontId="1" numFmtId="0" xfId="0" applyAlignment="1" applyBorder="1" applyFont="1">
      <alignment horizontal="center" readingOrder="0" shrinkToFit="0" vertical="center" wrapText="1"/>
    </xf>
    <xf borderId="12" fillId="3" fontId="1" numFmtId="1" xfId="0" applyAlignment="1" applyBorder="1" applyFont="1" applyNumberFormat="1">
      <alignment horizontal="center" shrinkToFit="0" vertical="center" wrapText="1"/>
    </xf>
    <xf borderId="12" fillId="3" fontId="1" numFmtId="1" xfId="0" applyAlignment="1" applyBorder="1" applyFont="1" applyNumberFormat="1">
      <alignment horizontal="center" shrinkToFit="0" vertical="center" wrapText="0"/>
    </xf>
    <xf borderId="12" fillId="3" fontId="7" numFmtId="0" xfId="0" applyAlignment="1" applyBorder="1" applyFont="1">
      <alignment horizontal="center" shrinkToFit="0" vertical="center" wrapText="1"/>
    </xf>
    <xf borderId="12" fillId="4" fontId="7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3" fillId="3" fontId="5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5" numFmtId="1" xfId="0" applyAlignment="1" applyBorder="1" applyFont="1" applyNumberForma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readingOrder="0" shrinkToFit="0" vertical="center" wrapText="1"/>
    </xf>
    <xf borderId="12" fillId="3" fontId="1" numFmtId="0" xfId="0" applyAlignment="1" applyBorder="1" applyFont="1">
      <alignment horizontal="center" shrinkToFit="0" vertical="center" wrapText="0"/>
    </xf>
    <xf borderId="12" fillId="3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8" fillId="4" fontId="7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0"/>
    </xf>
    <xf borderId="18" fillId="4" fontId="7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right" shrinkToFit="0" vertical="center" wrapText="1"/>
    </xf>
    <xf borderId="20" fillId="0" fontId="2" numFmtId="0" xfId="0" applyBorder="1" applyFont="1"/>
    <xf borderId="21" fillId="0" fontId="2" numFmtId="0" xfId="0" applyBorder="1" applyFont="1"/>
    <xf borderId="12" fillId="4" fontId="1" numFmtId="0" xfId="0" applyAlignment="1" applyBorder="1" applyFont="1">
      <alignment horizontal="center" shrinkToFit="0" vertical="center" wrapText="0"/>
    </xf>
    <xf borderId="16" fillId="3" fontId="1" numFmtId="0" xfId="0" applyAlignment="1" applyBorder="1" applyFont="1">
      <alignment shrinkToFit="0" vertical="center" wrapText="1"/>
    </xf>
    <xf borderId="16" fillId="3" fontId="1" numFmtId="0" xfId="0" applyAlignment="1" applyBorder="1" applyFont="1">
      <alignment horizontal="center" shrinkToFit="0" vertical="center" wrapText="0"/>
    </xf>
    <xf borderId="19" fillId="3" fontId="5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0"/>
    </xf>
    <xf borderId="22" fillId="3" fontId="5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3" fontId="5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shrinkToFit="0" vertical="center" wrapText="0"/>
    </xf>
    <xf borderId="26" fillId="3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419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62050" cy="409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71"/>
    <col customWidth="1" min="2" max="2" width="20.43"/>
    <col customWidth="1" min="3" max="3" width="18.57"/>
    <col customWidth="1" min="4" max="4" width="21.43"/>
    <col customWidth="1" min="5" max="5" width="32.14"/>
    <col customWidth="1" min="6" max="6" width="26.14"/>
    <col customWidth="1" min="7" max="7" width="27.43"/>
    <col customWidth="1" min="8" max="8" width="30.43"/>
    <col customWidth="1" min="9" max="9" width="26.43"/>
    <col customWidth="1" min="10" max="26" width="10.0"/>
  </cols>
  <sheetData>
    <row r="1" ht="33.0" customHeight="1">
      <c r="A1" s="1"/>
      <c r="B1" s="2"/>
      <c r="C1" s="3" t="s">
        <v>0</v>
      </c>
      <c r="D1" s="4"/>
      <c r="E1" s="4"/>
      <c r="F1" s="4"/>
      <c r="G1" s="4"/>
      <c r="H1" s="2"/>
      <c r="I1" s="5" t="s">
        <v>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3.0" customHeight="1">
      <c r="A2" s="7"/>
      <c r="B2" s="8"/>
      <c r="C2" s="7"/>
      <c r="H2" s="8"/>
      <c r="I2" s="9" t="s">
        <v>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3.0" customHeight="1">
      <c r="A3" s="10"/>
      <c r="B3" s="11"/>
      <c r="C3" s="10"/>
      <c r="D3" s="12"/>
      <c r="E3" s="12"/>
      <c r="F3" s="12"/>
      <c r="G3" s="12"/>
      <c r="H3" s="11"/>
      <c r="I3" s="13" t="s">
        <v>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.0" customHeight="1">
      <c r="A4" s="6"/>
      <c r="B4" s="6"/>
      <c r="C4" s="6"/>
      <c r="D4" s="6"/>
      <c r="E4" s="14"/>
      <c r="F4" s="14"/>
      <c r="G4" s="14"/>
      <c r="H4" s="14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72.0" customHeight="1">
      <c r="A5" s="16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6" t="s">
        <v>9</v>
      </c>
      <c r="G5" s="16" t="s">
        <v>10</v>
      </c>
      <c r="H5" s="16" t="s">
        <v>11</v>
      </c>
      <c r="I5" s="16" t="s">
        <v>12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85.5" customHeight="1">
      <c r="A6" s="18" t="s">
        <v>13</v>
      </c>
      <c r="B6" s="18" t="s">
        <v>14</v>
      </c>
      <c r="C6" s="18" t="s">
        <v>15</v>
      </c>
      <c r="D6" s="19">
        <v>2.0</v>
      </c>
      <c r="E6" s="20">
        <v>20.0</v>
      </c>
      <c r="F6" s="21">
        <f t="shared" ref="F6:F8" si="1">(60/E6)*D6</f>
        <v>6</v>
      </c>
      <c r="G6" s="21">
        <f>(F6*8)</f>
        <v>48</v>
      </c>
      <c r="H6" s="21">
        <f>G6*5</f>
        <v>240</v>
      </c>
      <c r="I6" s="22">
        <f t="shared" ref="I6:I7" si="2">H6*4</f>
        <v>960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85.5" customHeight="1">
      <c r="A7" s="23" t="s">
        <v>16</v>
      </c>
      <c r="B7" s="23" t="s">
        <v>17</v>
      </c>
      <c r="C7" s="18" t="s">
        <v>18</v>
      </c>
      <c r="D7" s="24">
        <v>1.0</v>
      </c>
      <c r="E7" s="20">
        <v>20.0</v>
      </c>
      <c r="F7" s="21">
        <f t="shared" si="1"/>
        <v>3</v>
      </c>
      <c r="G7" s="21">
        <f t="shared" ref="G7:G8" si="3">(F7*5)</f>
        <v>15</v>
      </c>
      <c r="H7" s="21">
        <f t="shared" ref="H7:H8" si="4">G7*1</f>
        <v>15</v>
      </c>
      <c r="I7" s="22">
        <f t="shared" si="2"/>
        <v>60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85.5" customHeight="1">
      <c r="A8" s="23" t="s">
        <v>19</v>
      </c>
      <c r="B8" s="23" t="s">
        <v>20</v>
      </c>
      <c r="C8" s="18" t="s">
        <v>15</v>
      </c>
      <c r="D8" s="24">
        <v>1.0</v>
      </c>
      <c r="E8" s="20">
        <v>20.0</v>
      </c>
      <c r="F8" s="21">
        <f t="shared" si="1"/>
        <v>3</v>
      </c>
      <c r="G8" s="21">
        <f t="shared" si="3"/>
        <v>15</v>
      </c>
      <c r="H8" s="21">
        <f t="shared" si="4"/>
        <v>15</v>
      </c>
      <c r="I8" s="22">
        <v>40.0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6.0" customHeight="1">
      <c r="A9" s="25"/>
      <c r="B9" s="25"/>
      <c r="C9" s="25"/>
      <c r="D9" s="25"/>
      <c r="E9" s="17"/>
      <c r="F9" s="17"/>
      <c r="G9" s="17"/>
      <c r="H9" s="1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9.25" customHeight="1">
      <c r="A10" s="26" t="s">
        <v>21</v>
      </c>
      <c r="B10" s="27"/>
      <c r="C10" s="27"/>
      <c r="D10" s="27"/>
      <c r="E10" s="28">
        <f>SUM(I6,I7,I8)</f>
        <v>1060</v>
      </c>
      <c r="F10" s="29"/>
      <c r="G10" s="29"/>
      <c r="H10" s="29"/>
      <c r="I10" s="2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6.25" customHeight="1">
      <c r="A11" s="25"/>
      <c r="B11" s="25"/>
      <c r="C11" s="25"/>
      <c r="D11" s="30"/>
      <c r="E11" s="31"/>
      <c r="F11" s="31"/>
      <c r="G11" s="31"/>
      <c r="H11" s="3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6.25" customHeight="1">
      <c r="A12" s="25"/>
      <c r="B12" s="25"/>
      <c r="C12" s="25"/>
      <c r="D12" s="30"/>
      <c r="E12" s="31"/>
      <c r="F12" s="31"/>
      <c r="G12" s="31"/>
      <c r="H12" s="3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6.25" customHeight="1">
      <c r="A13" s="25"/>
      <c r="B13" s="25"/>
      <c r="C13" s="25"/>
      <c r="D13" s="30"/>
      <c r="E13" s="31"/>
      <c r="F13" s="31"/>
      <c r="G13" s="31"/>
      <c r="H13" s="3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3.0" customHeight="1">
      <c r="A15" s="32"/>
      <c r="B15" s="32"/>
      <c r="C15" s="32"/>
      <c r="D15" s="32"/>
      <c r="E15" s="29"/>
      <c r="F15" s="29"/>
      <c r="G15" s="29"/>
      <c r="H15" s="29"/>
      <c r="I15" s="2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4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3">
    <mergeCell ref="A1:B3"/>
    <mergeCell ref="C1:H3"/>
    <mergeCell ref="A10:D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29"/>
    <col customWidth="1" min="2" max="3" width="25.43"/>
    <col customWidth="1" min="4" max="4" width="19.14"/>
    <col customWidth="1" min="5" max="5" width="23.86"/>
    <col customWidth="1" min="6" max="6" width="22.43"/>
    <col customWidth="1" min="7" max="7" width="18.86"/>
    <col customWidth="1" min="8" max="8" width="25.57"/>
    <col customWidth="1" min="9" max="26" width="10.0"/>
  </cols>
  <sheetData>
    <row r="1" ht="32.25" customHeight="1">
      <c r="A1" s="33"/>
      <c r="B1" s="34" t="s">
        <v>22</v>
      </c>
      <c r="C1" s="4"/>
      <c r="D1" s="4"/>
      <c r="E1" s="4"/>
      <c r="F1" s="4"/>
      <c r="G1" s="2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2.25" customHeight="1">
      <c r="A2" s="35"/>
      <c r="B2" s="7"/>
      <c r="G2" s="8"/>
      <c r="H2" s="9" t="s">
        <v>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2.25" customHeight="1">
      <c r="A3" s="36"/>
      <c r="B3" s="10"/>
      <c r="C3" s="12"/>
      <c r="D3" s="12"/>
      <c r="E3" s="12"/>
      <c r="F3" s="12"/>
      <c r="G3" s="11"/>
      <c r="H3" s="13" t="s">
        <v>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.5" customHeight="1">
      <c r="A4" s="6"/>
      <c r="B4" s="6"/>
      <c r="C4" s="6"/>
      <c r="D4" s="14"/>
      <c r="E4" s="14"/>
      <c r="F4" s="14"/>
      <c r="G4" s="14"/>
      <c r="H4" s="1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5.0" customHeight="1">
      <c r="A5" s="16" t="s">
        <v>23</v>
      </c>
      <c r="B5" s="16" t="s">
        <v>24</v>
      </c>
      <c r="C5" s="16" t="s">
        <v>25</v>
      </c>
      <c r="D5" s="16" t="s">
        <v>26</v>
      </c>
      <c r="E5" s="16" t="s">
        <v>27</v>
      </c>
      <c r="F5" s="16" t="s">
        <v>28</v>
      </c>
      <c r="G5" s="16" t="s">
        <v>29</v>
      </c>
      <c r="H5" s="16" t="s">
        <v>30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63.75" customHeight="1">
      <c r="A6" s="37" t="str">
        <f>'CAPACIDAD INSTALADA'!A6</f>
        <v>ENDOCRINOLOGÍA Y ENDOCRINOLOGIA PEDIATRICA</v>
      </c>
      <c r="B6" s="38" t="str">
        <f>'CAPACIDAD INSTALADA'!B6</f>
        <v>Medico Especialista en Endocrinología y Endocrinologia pediatrica</v>
      </c>
      <c r="C6" s="39">
        <v>2.0</v>
      </c>
      <c r="D6" s="40">
        <v>35.0</v>
      </c>
      <c r="E6" s="41">
        <v>20.0</v>
      </c>
      <c r="F6" s="38">
        <f>60/E6</f>
        <v>3</v>
      </c>
      <c r="G6" s="41">
        <v>120.0</v>
      </c>
      <c r="H6" s="42">
        <f>G6*4</f>
        <v>480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63.75" customHeight="1">
      <c r="A7" s="37" t="s">
        <v>16</v>
      </c>
      <c r="B7" s="38" t="s">
        <v>17</v>
      </c>
      <c r="C7" s="43">
        <v>2.0</v>
      </c>
      <c r="D7" s="41">
        <v>6.0</v>
      </c>
      <c r="E7" s="41">
        <v>20.0</v>
      </c>
      <c r="F7" s="20">
        <v>6.0</v>
      </c>
      <c r="G7" s="41">
        <v>30.0</v>
      </c>
      <c r="H7" s="44">
        <v>120.0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63.75" customHeight="1">
      <c r="A8" s="37" t="s">
        <v>19</v>
      </c>
      <c r="B8" s="38" t="s">
        <v>20</v>
      </c>
      <c r="C8" s="45">
        <v>1.0</v>
      </c>
      <c r="D8" s="41">
        <v>6.0</v>
      </c>
      <c r="E8" s="41">
        <v>20.0</v>
      </c>
      <c r="F8" s="38">
        <f>60/E8</f>
        <v>3</v>
      </c>
      <c r="G8" s="41">
        <v>15.0</v>
      </c>
      <c r="H8" s="44">
        <v>60.0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46" t="s">
        <v>31</v>
      </c>
      <c r="B9" s="47"/>
      <c r="C9" s="47"/>
      <c r="D9" s="47"/>
      <c r="E9" s="47"/>
      <c r="F9" s="47"/>
      <c r="G9" s="48"/>
      <c r="H9" s="49">
        <f>SUM(H6,H7,H8)</f>
        <v>660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1.0" customHeight="1">
      <c r="A10" s="6"/>
      <c r="B10" s="50"/>
      <c r="C10" s="50"/>
      <c r="D10" s="51"/>
      <c r="E10" s="51"/>
      <c r="F10" s="31"/>
      <c r="G10" s="5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7.75" customHeight="1">
      <c r="A11" s="6"/>
      <c r="B11" s="52" t="s">
        <v>32</v>
      </c>
      <c r="C11" s="47"/>
      <c r="D11" s="48"/>
      <c r="E11" s="53">
        <f>H9</f>
        <v>660</v>
      </c>
      <c r="F11" s="47"/>
      <c r="G11" s="47"/>
      <c r="H11" s="4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5.5" customHeight="1">
      <c r="A12" s="6"/>
      <c r="B12" s="54" t="s">
        <v>33</v>
      </c>
      <c r="C12" s="55"/>
      <c r="D12" s="56"/>
      <c r="E12" s="57"/>
      <c r="F12" s="58"/>
      <c r="G12" s="58"/>
      <c r="H12" s="5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6">
    <mergeCell ref="A1:A3"/>
    <mergeCell ref="B1:G3"/>
    <mergeCell ref="A9:G9"/>
    <mergeCell ref="B11:D11"/>
    <mergeCell ref="E11:H11"/>
    <mergeCell ref="B12:D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2014-05-06T14:59:43Z</dcterms:created>
  <dc:creator>OFICINA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str>5a92d709-cabd-4e30-b563-95468cb34434</vt:lpstr>
  </property>
</Properties>
</file>