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Talento Humano" sheetId="1" r:id="rId4"/>
    <sheet state="visible" name="CURSOS" sheetId="2" r:id="rId5"/>
  </sheets>
  <definedNames>
    <definedName hidden="1" localSheetId="0" name="_xlnm._FilterDatabase">'Registro Talento Humano'!$A$7:$K$13</definedName>
    <definedName hidden="1" localSheetId="1" name="_xlnm._FilterDatabase">CURSOS!$A$7:$J$15</definedName>
  </definedNames>
  <calcPr/>
  <extLst>
    <ext uri="GoogleSheetsCustomDataVersion2">
      <go:sheetsCustomData xmlns:go="http://customooxmlschemas.google.com/" r:id="rId6" roundtripDataChecksum="WtT3qDNffYdAuEshvR1GN2QXsNiKPv5Ezmf/rU32RQU="/>
    </ext>
  </extLst>
</workbook>
</file>

<file path=xl/sharedStrings.xml><?xml version="1.0" encoding="utf-8"?>
<sst xmlns="http://schemas.openxmlformats.org/spreadsheetml/2006/main" count="128" uniqueCount="71">
  <si>
    <t>IPS Endocrinology &amp; Health</t>
  </si>
  <si>
    <t>CODIGO</t>
  </si>
  <si>
    <t>EH-F-028</t>
  </si>
  <si>
    <t>MATRIZ DE PERSONAL - TALENTO HUMANO</t>
  </si>
  <si>
    <t>VERSION</t>
  </si>
  <si>
    <t>COPIA CONTROLADA - DOCUMENTO GENERAL</t>
  </si>
  <si>
    <t>FECHA</t>
  </si>
  <si>
    <t xml:space="preserve">Última Actualización: </t>
  </si>
  <si>
    <t>Responsable de Actualización:</t>
  </si>
  <si>
    <t>DIANA VALENTINA BASTIDAS ROJAS</t>
  </si>
  <si>
    <t>Cargo:</t>
  </si>
  <si>
    <t>ASESOR DE CALIDAD</t>
  </si>
  <si>
    <t>N</t>
  </si>
  <si>
    <t>TIP. DOC</t>
  </si>
  <si>
    <t>NÚMERO DOCUMENTO</t>
  </si>
  <si>
    <t>NOMBRE COMPLETO</t>
  </si>
  <si>
    <t>CARGO</t>
  </si>
  <si>
    <t>TIPO DE PERSONAL</t>
  </si>
  <si>
    <t>CORREO</t>
  </si>
  <si>
    <t>TELEFONO</t>
  </si>
  <si>
    <t>TIPO DE CONTRATO</t>
  </si>
  <si>
    <t>OK</t>
  </si>
  <si>
    <t>CARPETA</t>
  </si>
  <si>
    <t>1.</t>
  </si>
  <si>
    <t>C.C</t>
  </si>
  <si>
    <t>CARLOS JAVIER VIZCAINO GUERRERO</t>
  </si>
  <si>
    <t>ENDOCRINOLOGO / INTERNISTA</t>
  </si>
  <si>
    <t>Asistencial</t>
  </si>
  <si>
    <t>endocrinologyandhealth@gmail.com</t>
  </si>
  <si>
    <t>Indefinido</t>
  </si>
  <si>
    <t>1. ENDOCRINOLOGO - CARLOS VIZCAINO</t>
  </si>
  <si>
    <t>2.</t>
  </si>
  <si>
    <t>GINA LUZ PEÑARANDA VARGAS</t>
  </si>
  <si>
    <t>ENDOCRINOLOGO PEDIATRA</t>
  </si>
  <si>
    <t>glpv05@gmail.com</t>
  </si>
  <si>
    <t>OPS</t>
  </si>
  <si>
    <t>2. ENDOCRINOLOGA PEDIATRA - GINA PEÑARANDA</t>
  </si>
  <si>
    <t>3.</t>
  </si>
  <si>
    <t>JULIO EDIL BENITEZ MONTES</t>
  </si>
  <si>
    <t>DEPORTOLOGO</t>
  </si>
  <si>
    <t>med.jbenitez@gmail.com</t>
  </si>
  <si>
    <t>3. DEPORTOLOGO - JULIO BENITEZ</t>
  </si>
  <si>
    <t>4.</t>
  </si>
  <si>
    <t>SAMIRA NAVARRO</t>
  </si>
  <si>
    <t>NUTRICIONISTA</t>
  </si>
  <si>
    <t>saminavarro86@gmail.com</t>
  </si>
  <si>
    <t>4. NUTRICIONISTA - SAMIRA NAVARRO</t>
  </si>
  <si>
    <t>5.</t>
  </si>
  <si>
    <t>DALIA MARTINEZ CARDEÑO</t>
  </si>
  <si>
    <t>da_marc75@yahoo.com</t>
  </si>
  <si>
    <t>5. NUTRICIONISTA - DALIA MARTINEZ</t>
  </si>
  <si>
    <t>MELANIE VELOZA SALCEDO</t>
  </si>
  <si>
    <t>AUXILIAR ADMINISTRATIVO</t>
  </si>
  <si>
    <t>Velozamelanie104@gmail.com</t>
  </si>
  <si>
    <t>6. AUXILIAR ADMINISTRATIVO</t>
  </si>
  <si>
    <t>CURSO DE ATENCION A VICTIMAS</t>
  </si>
  <si>
    <t>CURSO DE LAVADO DE MANOS OMS</t>
  </si>
  <si>
    <t>OTROS CURSOS</t>
  </si>
  <si>
    <t>-</t>
  </si>
  <si>
    <t>MEDICO ESPECIALISTA - CARLOS VIZCAINO</t>
  </si>
  <si>
    <t>No tiene curso</t>
  </si>
  <si>
    <t>DEPORTOLOGO - JULIO BENITEZ</t>
  </si>
  <si>
    <t>CURSO VIGENTE</t>
  </si>
  <si>
    <t>NUTRICIONISTA - DALIA MARTINEZ</t>
  </si>
  <si>
    <t>No aplica</t>
  </si>
  <si>
    <t>ENDOCRINOLOGO - PEDIATRA</t>
  </si>
  <si>
    <t>6.</t>
  </si>
  <si>
    <t>MEDICO INTERNISTA</t>
  </si>
  <si>
    <t>7.</t>
  </si>
  <si>
    <t>CIRUJANO DE CABEZA Y CUELLO</t>
  </si>
  <si>
    <t>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</si>
</sst>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&quot;-&quot;mmm&quot;-&quot;yyyy"/>
    <numFmt numFmtId="166" formatCode="d-mmm-yyyy"/>
  </numFmts>
  <fonts count="12">
    <font>
      <sz val="11.0"/>
      <color theme="1"/>
      <name val="Calibri"/>
      <scheme val="minor"/>
    </font>
    <font>
      <sz val="11.0"/>
      <color rgb="FF000000"/>
      <name val="Century Gothic"/>
    </font>
    <font/>
    <font>
      <b/>
      <sz val="11.0"/>
      <color rgb="FF000000"/>
      <name val="Century Gothic"/>
    </font>
    <font>
      <sz val="10.0"/>
      <color theme="1"/>
      <name val="Century Gothic"/>
    </font>
    <font>
      <b/>
      <sz val="10.0"/>
      <color theme="1"/>
      <name val="Century Gothic"/>
    </font>
    <font>
      <b/>
      <sz val="8.0"/>
      <color theme="1"/>
      <name val="Century Gothic"/>
    </font>
    <font>
      <b/>
      <sz val="9.0"/>
      <color theme="1"/>
      <name val="Century Gothic"/>
    </font>
    <font>
      <sz val="9.0"/>
      <color theme="1"/>
      <name val="Century Gothic"/>
    </font>
    <font>
      <sz val="14.0"/>
      <color theme="1"/>
      <name val="Century Gothic"/>
    </font>
    <font>
      <u/>
      <sz val="9.0"/>
      <color theme="1"/>
      <name val="Century Gothic"/>
    </font>
    <font>
      <u/>
      <sz val="9.0"/>
      <color theme="1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BB9FF"/>
        <bgColor rgb="FF8BB9FF"/>
      </patternFill>
    </fill>
    <fill>
      <patternFill patternType="solid">
        <fgColor rgb="FF2D3C53"/>
        <bgColor rgb="FF2D3C53"/>
      </patternFill>
    </fill>
    <fill>
      <patternFill patternType="solid">
        <fgColor rgb="FFD5E6FF"/>
        <bgColor rgb="FFD5E6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ont="1">
      <alignment horizontal="center" shrinkToFit="0" vertical="center" wrapText="0"/>
    </xf>
    <xf borderId="7" fillId="3" fontId="1" numFmtId="0" xfId="0" applyAlignment="1" applyBorder="1" applyFont="1">
      <alignment horizontal="left" readingOrder="0" shrinkToFit="0" vertical="center" wrapText="0"/>
    </xf>
    <xf borderId="8" fillId="0" fontId="2" numFmtId="0" xfId="0" applyBorder="1" applyFont="1"/>
    <xf borderId="9" fillId="0" fontId="2" numFmtId="0" xfId="0" applyBorder="1" applyFont="1"/>
    <xf borderId="4" fillId="3" fontId="3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7" fillId="3" fontId="1" numFmtId="164" xfId="0" applyAlignment="1" applyBorder="1" applyFont="1" applyNumberFormat="1">
      <alignment horizontal="left" readingOrder="0"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7" fillId="5" fontId="4" numFmtId="165" xfId="0" applyAlignment="1" applyBorder="1" applyFill="1" applyFont="1" applyNumberFormat="1">
      <alignment horizontal="center" readingOrder="0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7" fillId="3" fontId="5" numFmtId="0" xfId="0" applyAlignment="1" applyBorder="1" applyFont="1">
      <alignment horizontal="center" shrinkToFit="0" vertical="center" wrapText="0"/>
    </xf>
    <xf borderId="7" fillId="3" fontId="6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0"/>
    </xf>
    <xf borderId="7" fillId="2" fontId="8" numFmtId="0" xfId="0" applyAlignment="1" applyBorder="1" applyFont="1">
      <alignment horizontal="center" readingOrder="0" shrinkToFit="0" vertical="center" wrapText="0"/>
    </xf>
    <xf borderId="7" fillId="2" fontId="8" numFmtId="3" xfId="0" applyAlignment="1" applyBorder="1" applyFont="1" applyNumberFormat="1">
      <alignment horizontal="left" readingOrder="0" shrinkToFit="0" vertical="center" wrapText="0"/>
    </xf>
    <xf borderId="7" fillId="2" fontId="8" numFmtId="0" xfId="0" applyAlignment="1" applyBorder="1" applyFont="1">
      <alignment horizontal="left" readingOrder="0" shrinkToFit="0" vertical="center" wrapText="0"/>
    </xf>
    <xf borderId="7" fillId="2" fontId="9" numFmtId="0" xfId="0" applyAlignment="1" applyBorder="1" applyFont="1">
      <alignment horizontal="center" readingOrder="0" shrinkToFit="0" vertical="center" wrapText="0"/>
    </xf>
    <xf borderId="7" fillId="2" fontId="10" numFmtId="0" xfId="0" applyAlignment="1" applyBorder="1" applyFont="1">
      <alignment horizontal="left" readingOrder="0" shrinkToFit="0" vertical="center" wrapText="0"/>
    </xf>
    <xf borderId="7" fillId="5" fontId="4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horizontal="center" vertical="center"/>
    </xf>
    <xf borderId="7" fillId="0" fontId="8" numFmtId="3" xfId="0" applyAlignment="1" applyBorder="1" applyFont="1" applyNumberFormat="1">
      <alignment horizontal="left" vertical="center"/>
    </xf>
    <xf borderId="7" fillId="0" fontId="8" numFmtId="0" xfId="0" applyAlignment="1" applyBorder="1" applyFont="1">
      <alignment vertical="center"/>
    </xf>
    <xf borderId="7" fillId="6" fontId="8" numFmtId="165" xfId="0" applyAlignment="1" applyBorder="1" applyFill="1" applyFont="1" applyNumberFormat="1">
      <alignment horizontal="center" readingOrder="0" shrinkToFit="0" vertical="center" wrapText="0"/>
    </xf>
    <xf borderId="7" fillId="6" fontId="8" numFmtId="166" xfId="0" applyAlignment="1" applyBorder="1" applyFont="1" applyNumberFormat="1">
      <alignment horizontal="center" readingOrder="0" shrinkToFit="0" vertical="center" wrapText="0"/>
    </xf>
    <xf borderId="7" fillId="0" fontId="8" numFmtId="0" xfId="0" applyAlignment="1" applyBorder="1" applyFont="1">
      <alignment horizontal="center" readingOrder="0" shrinkToFit="0" vertical="center" wrapText="0"/>
    </xf>
    <xf borderId="7" fillId="0" fontId="11" numFmtId="0" xfId="0" applyAlignment="1" applyBorder="1" applyFont="1">
      <alignment horizontal="left" readingOrder="0" shrinkToFit="0" vertical="center" wrapText="0"/>
    </xf>
    <xf borderId="7" fillId="7" fontId="8" numFmtId="0" xfId="0" applyAlignment="1" applyBorder="1" applyFill="1" applyFont="1">
      <alignment horizontal="center" readingOrder="0" shrinkToFit="0" vertical="center" wrapText="0"/>
    </xf>
    <xf borderId="7" fillId="6" fontId="8" numFmtId="0" xfId="0" applyAlignment="1" applyBorder="1" applyFont="1">
      <alignment horizontal="center" readingOrder="0" shrinkToFit="0" vertical="center" wrapText="0"/>
    </xf>
    <xf borderId="7" fillId="0" fontId="8" numFmtId="165" xfId="0" applyAlignment="1" applyBorder="1" applyFont="1" applyNumberFormat="1">
      <alignment horizontal="center" readingOrder="0" shrinkToFit="0" vertical="center" wrapText="0"/>
    </xf>
    <xf borderId="7" fillId="0" fontId="8" numFmtId="3" xfId="0" applyAlignment="1" applyBorder="1" applyFont="1" applyNumberFormat="1">
      <alignment horizontal="left" readingOrder="0" shrinkToFit="0" vertical="center" wrapText="0"/>
    </xf>
    <xf borderId="7" fillId="0" fontId="8" numFmtId="0" xfId="0" applyAlignment="1" applyBorder="1" applyFont="1">
      <alignment horizontal="left" readingOrder="0" shrinkToFit="0" vertical="center" wrapText="0"/>
    </xf>
    <xf borderId="7" fillId="0" fontId="9" numFmtId="0" xfId="0" applyAlignment="1" applyBorder="1" applyFont="1">
      <alignment horizontal="center" shrinkToFit="0" vertical="center" wrapText="0"/>
    </xf>
    <xf borderId="7" fillId="0" fontId="8" numFmtId="3" xfId="0" applyAlignment="1" applyBorder="1" applyFont="1" applyNumberFormat="1">
      <alignment horizontal="left" shrinkToFit="0" vertical="center" wrapText="0"/>
    </xf>
    <xf borderId="7" fillId="0" fontId="8" numFmtId="0" xfId="0" applyAlignment="1" applyBorder="1" applyFont="1">
      <alignment horizontal="left" shrinkToFit="0" vertical="center" wrapText="0"/>
    </xf>
    <xf borderId="7" fillId="0" fontId="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104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" cy="104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S-AKspFZdNmiDr4S5zR5CWR0jpiEJFG?usp=drive_link" TargetMode="External"/><Relationship Id="rId2" Type="http://schemas.openxmlformats.org/officeDocument/2006/relationships/hyperlink" Target="https://drive.google.com/drive/folders/1nRRGIn8hu1tE1J_HiCeiKWP4iw_9FlqQ?usp=drive_link" TargetMode="External"/><Relationship Id="rId3" Type="http://schemas.openxmlformats.org/officeDocument/2006/relationships/hyperlink" Target="https://drive.google.com/drive/folders/1QVHkcPvzGvVxSLy3jB58wI1UkRQ2G-Ip?usp=sharing" TargetMode="External"/><Relationship Id="rId4" Type="http://schemas.openxmlformats.org/officeDocument/2006/relationships/hyperlink" Target="https://drive.google.com/drive/folders/1Xr_xjsKfvh63PlFsW_2qkPa0J76xADkY?usp=sharing" TargetMode="External"/><Relationship Id="rId5" Type="http://schemas.openxmlformats.org/officeDocument/2006/relationships/hyperlink" Target="https://drive.google.com/drive/folders/1IrMlW2gvdbCSUZCtafS4gOPPKOIS9Mb4?usp=drive_link" TargetMode="External"/><Relationship Id="rId6" Type="http://schemas.openxmlformats.org/officeDocument/2006/relationships/hyperlink" Target="https://drive.google.com/drive/folders/1jfK0iuP_1YL-8NQANzN1LylvWO4ZcTob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S-AKspFZdNmiDr4S5zR5CWR0jpiEJFG?usp=drive_link" TargetMode="External"/><Relationship Id="rId2" Type="http://schemas.openxmlformats.org/officeDocument/2006/relationships/hyperlink" Target="https://drive.google.com/drive/folders/1QVHkcPvzGvVxSLy3jB58wI1UkRQ2G-Ip?usp=drive_link" TargetMode="External"/><Relationship Id="rId3" Type="http://schemas.openxmlformats.org/officeDocument/2006/relationships/hyperlink" Target="https://drive.google.com/drive/folders/1IrMlW2gvdbCSUZCtafS4gOPPKOIS9Mb4?usp=drive_link" TargetMode="External"/><Relationship Id="rId4" Type="http://schemas.openxmlformats.org/officeDocument/2006/relationships/hyperlink" Target="https://drive.google.com/drive/folders/1jfK0iuP_1YL-8NQANzN1LylvWO4ZcTob?usp=drive_link" TargetMode="External"/><Relationship Id="rId5" Type="http://schemas.openxmlformats.org/officeDocument/2006/relationships/hyperlink" Target="https://drive.google.com/drive/folders/1nRRGIn8hu1tE1J_HiCeiKWP4iw_9FlqQ?usp=drive_link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7.43"/>
    <col customWidth="1" min="3" max="3" width="14.14"/>
    <col customWidth="1" min="4" max="4" width="31.0"/>
    <col customWidth="1" min="5" max="5" width="29.14"/>
    <col customWidth="1" min="6" max="6" width="16.86"/>
    <col customWidth="1" min="7" max="7" width="26.0"/>
    <col customWidth="1" min="8" max="8" width="13.57"/>
    <col customWidth="1" min="9" max="9" width="15.43"/>
    <col customWidth="1" min="10" max="10" width="10.86"/>
    <col customWidth="1" min="11" max="11" width="22.29"/>
  </cols>
  <sheetData>
    <row r="1" ht="21.0" customHeight="1">
      <c r="A1" s="1"/>
      <c r="B1" s="2"/>
      <c r="C1" s="3"/>
      <c r="D1" s="4" t="s">
        <v>0</v>
      </c>
      <c r="E1" s="5"/>
      <c r="F1" s="5"/>
      <c r="G1" s="5"/>
      <c r="H1" s="5"/>
      <c r="I1" s="6"/>
      <c r="J1" s="7" t="s">
        <v>1</v>
      </c>
      <c r="K1" s="8" t="s">
        <v>2</v>
      </c>
    </row>
    <row r="2" ht="21.0" customHeight="1">
      <c r="A2" s="9"/>
      <c r="C2" s="10"/>
      <c r="D2" s="11" t="s">
        <v>3</v>
      </c>
      <c r="E2" s="5"/>
      <c r="F2" s="5"/>
      <c r="G2" s="5"/>
      <c r="H2" s="5"/>
      <c r="I2" s="6"/>
      <c r="J2" s="7" t="s">
        <v>4</v>
      </c>
      <c r="K2" s="8">
        <v>2.0</v>
      </c>
    </row>
    <row r="3" ht="21.0" customHeight="1">
      <c r="A3" s="12"/>
      <c r="B3" s="13"/>
      <c r="C3" s="14"/>
      <c r="D3" s="11" t="s">
        <v>5</v>
      </c>
      <c r="E3" s="5"/>
      <c r="F3" s="5"/>
      <c r="G3" s="5"/>
      <c r="H3" s="5"/>
      <c r="I3" s="6"/>
      <c r="J3" s="7" t="s">
        <v>6</v>
      </c>
      <c r="K3" s="15">
        <v>45678.0</v>
      </c>
    </row>
    <row r="4" ht="6.75" customHeight="1">
      <c r="A4" s="16"/>
      <c r="B4" s="5"/>
      <c r="C4" s="5"/>
      <c r="D4" s="5"/>
      <c r="E4" s="5"/>
      <c r="F4" s="5"/>
      <c r="G4" s="5"/>
      <c r="H4" s="5"/>
      <c r="I4" s="5"/>
      <c r="J4" s="5"/>
      <c r="K4" s="6"/>
    </row>
    <row r="5" ht="24.0" customHeight="1">
      <c r="A5" s="17" t="s">
        <v>7</v>
      </c>
      <c r="B5" s="5"/>
      <c r="C5" s="6"/>
      <c r="D5" s="18">
        <v>45693.0</v>
      </c>
      <c r="E5" s="17" t="s">
        <v>8</v>
      </c>
      <c r="F5" s="6"/>
      <c r="G5" s="19" t="s">
        <v>9</v>
      </c>
      <c r="H5" s="6"/>
      <c r="I5" s="20" t="s">
        <v>10</v>
      </c>
      <c r="J5" s="19" t="s">
        <v>11</v>
      </c>
      <c r="K5" s="6"/>
    </row>
    <row r="6" ht="6.75" customHeight="1">
      <c r="A6" s="16"/>
      <c r="B6" s="5"/>
      <c r="C6" s="5"/>
      <c r="D6" s="5"/>
      <c r="E6" s="5"/>
      <c r="F6" s="5"/>
      <c r="G6" s="5"/>
      <c r="H6" s="5"/>
      <c r="I6" s="5"/>
      <c r="J6" s="5"/>
      <c r="K6" s="6"/>
    </row>
    <row r="7" ht="27.75" customHeight="1">
      <c r="A7" s="21" t="s">
        <v>12</v>
      </c>
      <c r="B7" s="21" t="s">
        <v>13</v>
      </c>
      <c r="C7" s="21" t="s">
        <v>14</v>
      </c>
      <c r="D7" s="21" t="s">
        <v>15</v>
      </c>
      <c r="E7" s="21" t="s">
        <v>16</v>
      </c>
      <c r="F7" s="21" t="s">
        <v>17</v>
      </c>
      <c r="G7" s="21" t="s">
        <v>18</v>
      </c>
      <c r="H7" s="21" t="s">
        <v>19</v>
      </c>
      <c r="I7" s="22" t="s">
        <v>20</v>
      </c>
      <c r="J7" s="21" t="s">
        <v>21</v>
      </c>
      <c r="K7" s="21" t="s">
        <v>22</v>
      </c>
    </row>
    <row r="8" ht="26.25" customHeight="1">
      <c r="A8" s="23" t="s">
        <v>23</v>
      </c>
      <c r="B8" s="24" t="s">
        <v>24</v>
      </c>
      <c r="C8" s="25">
        <v>7.2346118E7</v>
      </c>
      <c r="D8" s="26" t="s">
        <v>25</v>
      </c>
      <c r="E8" s="26" t="s">
        <v>26</v>
      </c>
      <c r="F8" s="26" t="s">
        <v>27</v>
      </c>
      <c r="G8" s="26" t="s">
        <v>28</v>
      </c>
      <c r="H8" s="26">
        <v>3.204241579E9</v>
      </c>
      <c r="I8" s="26" t="s">
        <v>29</v>
      </c>
      <c r="J8" s="27" t="b">
        <v>1</v>
      </c>
      <c r="K8" s="28" t="s">
        <v>30</v>
      </c>
    </row>
    <row r="9" ht="26.25" customHeight="1">
      <c r="A9" s="24" t="s">
        <v>31</v>
      </c>
      <c r="B9" s="24" t="s">
        <v>24</v>
      </c>
      <c r="C9" s="25">
        <v>5.5231683E7</v>
      </c>
      <c r="D9" s="26" t="s">
        <v>32</v>
      </c>
      <c r="E9" s="26" t="s">
        <v>33</v>
      </c>
      <c r="F9" s="26" t="s">
        <v>27</v>
      </c>
      <c r="G9" s="26" t="s">
        <v>34</v>
      </c>
      <c r="H9" s="26">
        <v>3.013733905E9</v>
      </c>
      <c r="I9" s="26" t="s">
        <v>35</v>
      </c>
      <c r="J9" s="27" t="b">
        <v>1</v>
      </c>
      <c r="K9" s="28" t="s">
        <v>36</v>
      </c>
    </row>
    <row r="10" ht="26.25" customHeight="1">
      <c r="A10" s="24" t="s">
        <v>37</v>
      </c>
      <c r="B10" s="24" t="s">
        <v>24</v>
      </c>
      <c r="C10" s="25">
        <v>1.102756733E9</v>
      </c>
      <c r="D10" s="26" t="s">
        <v>38</v>
      </c>
      <c r="E10" s="26" t="s">
        <v>39</v>
      </c>
      <c r="F10" s="26" t="s">
        <v>27</v>
      </c>
      <c r="G10" s="26" t="s">
        <v>40</v>
      </c>
      <c r="H10" s="26">
        <v>3.146137298E9</v>
      </c>
      <c r="I10" s="26" t="s">
        <v>35</v>
      </c>
      <c r="J10" s="27" t="b">
        <v>1</v>
      </c>
      <c r="K10" s="28" t="s">
        <v>41</v>
      </c>
    </row>
    <row r="11" ht="26.25" customHeight="1">
      <c r="A11" s="24" t="s">
        <v>42</v>
      </c>
      <c r="B11" s="24" t="s">
        <v>24</v>
      </c>
      <c r="C11" s="25">
        <v>3.2877929E7</v>
      </c>
      <c r="D11" s="26" t="s">
        <v>43</v>
      </c>
      <c r="E11" s="26" t="s">
        <v>44</v>
      </c>
      <c r="F11" s="26" t="s">
        <v>27</v>
      </c>
      <c r="G11" s="26" t="s">
        <v>45</v>
      </c>
      <c r="H11" s="26">
        <v>3.012791458E9</v>
      </c>
      <c r="I11" s="26" t="s">
        <v>35</v>
      </c>
      <c r="J11" s="27" t="b">
        <v>1</v>
      </c>
      <c r="K11" s="28" t="s">
        <v>46</v>
      </c>
    </row>
    <row r="12" ht="26.25" customHeight="1">
      <c r="A12" s="24" t="s">
        <v>47</v>
      </c>
      <c r="B12" s="24" t="s">
        <v>24</v>
      </c>
      <c r="C12" s="25">
        <v>6.4574115E7</v>
      </c>
      <c r="D12" s="26" t="s">
        <v>48</v>
      </c>
      <c r="E12" s="26" t="s">
        <v>44</v>
      </c>
      <c r="F12" s="26" t="s">
        <v>27</v>
      </c>
      <c r="G12" s="26" t="s">
        <v>49</v>
      </c>
      <c r="H12" s="26">
        <v>3.13552846E9</v>
      </c>
      <c r="I12" s="26" t="s">
        <v>35</v>
      </c>
      <c r="J12" s="27" t="b">
        <v>1</v>
      </c>
      <c r="K12" s="28" t="s">
        <v>50</v>
      </c>
    </row>
    <row r="13" ht="26.25" customHeight="1">
      <c r="A13" s="24">
        <v>6.0</v>
      </c>
      <c r="B13" s="24" t="s">
        <v>24</v>
      </c>
      <c r="C13" s="25">
        <v>1.002212929E9</v>
      </c>
      <c r="D13" s="26" t="s">
        <v>51</v>
      </c>
      <c r="E13" s="26" t="s">
        <v>52</v>
      </c>
      <c r="F13" s="26" t="s">
        <v>27</v>
      </c>
      <c r="G13" s="26" t="s">
        <v>53</v>
      </c>
      <c r="H13" s="26">
        <v>3.013615878E9</v>
      </c>
      <c r="I13" s="26" t="s">
        <v>29</v>
      </c>
      <c r="J13" s="27" t="b">
        <v>1</v>
      </c>
      <c r="K13" s="28" t="s">
        <v>54</v>
      </c>
    </row>
  </sheetData>
  <autoFilter ref="$A$7:$K$13"/>
  <mergeCells count="10">
    <mergeCell ref="G5:H5"/>
    <mergeCell ref="J5:K5"/>
    <mergeCell ref="A1:C3"/>
    <mergeCell ref="D1:I1"/>
    <mergeCell ref="D2:I2"/>
    <mergeCell ref="D3:I3"/>
    <mergeCell ref="A4:K4"/>
    <mergeCell ref="A5:C5"/>
    <mergeCell ref="E5:F5"/>
    <mergeCell ref="A6:K6"/>
  </mergeCells>
  <dataValidations>
    <dataValidation type="list" allowBlank="1" showErrorMessage="1" sqref="I8:I13">
      <formula1>"Term. Fijo,Indefinido,OPS,Obra o labor"</formula1>
    </dataValidation>
    <dataValidation type="list" allowBlank="1" showErrorMessage="1" sqref="F8:F13">
      <formula1>"Asistencial,Administrativo"</formula1>
    </dataValidation>
  </dataValidations>
  <hyperlinks>
    <hyperlink r:id="rId1" ref="K8"/>
    <hyperlink r:id="rId2" ref="K9"/>
    <hyperlink r:id="rId3" ref="K10"/>
    <hyperlink r:id="rId4" ref="K11"/>
    <hyperlink r:id="rId5" ref="K12"/>
    <hyperlink r:id="rId6" ref="K13"/>
  </hyperlinks>
  <printOptions horizontalCentered="1" verticalCentered="1"/>
  <pageMargins bottom="0.7480314960629921" footer="0.0" header="0.0" left="0.7086614173228347" right="0.7086614173228347" top="0.7480314960629921"/>
  <pageSetup fitToHeight="0" paperSize="9" orientation="landscape"/>
  <headerFooter>
    <oddFooter>&amp;LCopia controlada !                                                                                                                                                                                        &amp;C¡Su Salud es nuestra Prioridad&amp;R[Páginas]</oddFooter>
  </headerFooter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71"/>
    <col customWidth="1" min="2" max="2" width="7.43"/>
    <col customWidth="1" min="3" max="3" width="14.14"/>
    <col customWidth="1" min="4" max="4" width="31.0"/>
    <col customWidth="1" min="5" max="5" width="23.43"/>
    <col customWidth="1" min="6" max="6" width="16.0"/>
    <col customWidth="1" min="7" max="7" width="20.86"/>
    <col customWidth="1" min="8" max="8" width="20.71"/>
    <col customWidth="1" min="9" max="9" width="12.57"/>
    <col customWidth="1" min="10" max="10" width="22.29"/>
  </cols>
  <sheetData>
    <row r="1" ht="21.0" customHeight="1">
      <c r="A1" s="1"/>
      <c r="B1" s="2"/>
      <c r="C1" s="3"/>
      <c r="D1" s="4" t="s">
        <v>0</v>
      </c>
      <c r="E1" s="5"/>
      <c r="F1" s="5"/>
      <c r="G1" s="5"/>
      <c r="H1" s="6"/>
      <c r="I1" s="7" t="s">
        <v>1</v>
      </c>
      <c r="J1" s="8" t="s">
        <v>2</v>
      </c>
    </row>
    <row r="2" ht="21.0" customHeight="1">
      <c r="A2" s="9"/>
      <c r="C2" s="10"/>
      <c r="D2" s="11" t="s">
        <v>3</v>
      </c>
      <c r="E2" s="5"/>
      <c r="F2" s="5"/>
      <c r="G2" s="5"/>
      <c r="H2" s="6"/>
      <c r="I2" s="7" t="s">
        <v>4</v>
      </c>
      <c r="J2" s="8">
        <v>2.0</v>
      </c>
    </row>
    <row r="3" ht="21.0" customHeight="1">
      <c r="A3" s="12"/>
      <c r="B3" s="13"/>
      <c r="C3" s="14"/>
      <c r="D3" s="11" t="s">
        <v>5</v>
      </c>
      <c r="E3" s="5"/>
      <c r="F3" s="5"/>
      <c r="G3" s="5"/>
      <c r="H3" s="6"/>
      <c r="I3" s="7" t="s">
        <v>6</v>
      </c>
      <c r="J3" s="15">
        <v>45678.0</v>
      </c>
    </row>
    <row r="4" ht="6.75" customHeight="1">
      <c r="A4" s="16"/>
      <c r="B4" s="5"/>
      <c r="C4" s="5"/>
      <c r="D4" s="5"/>
      <c r="E4" s="5"/>
      <c r="F4" s="5"/>
      <c r="G4" s="5"/>
      <c r="H4" s="5"/>
      <c r="I4" s="5"/>
      <c r="J4" s="6"/>
    </row>
    <row r="5" ht="24.0" hidden="1" customHeight="1">
      <c r="A5" s="17" t="s">
        <v>7</v>
      </c>
      <c r="B5" s="5"/>
      <c r="C5" s="6"/>
      <c r="D5" s="18">
        <v>45693.0</v>
      </c>
      <c r="E5" s="17" t="s">
        <v>8</v>
      </c>
      <c r="F5" s="6"/>
      <c r="G5" s="29" t="s">
        <v>9</v>
      </c>
      <c r="H5" s="20" t="s">
        <v>10</v>
      </c>
      <c r="I5" s="19" t="s">
        <v>11</v>
      </c>
      <c r="J5" s="6"/>
    </row>
    <row r="6" ht="6.75" customHeight="1">
      <c r="A6" s="16"/>
      <c r="B6" s="5"/>
      <c r="C6" s="5"/>
      <c r="D6" s="5"/>
      <c r="E6" s="5"/>
      <c r="F6" s="5"/>
      <c r="G6" s="5"/>
      <c r="H6" s="5"/>
      <c r="I6" s="5"/>
      <c r="J6" s="6"/>
    </row>
    <row r="7" ht="27.75" customHeight="1">
      <c r="A7" s="21" t="s">
        <v>12</v>
      </c>
      <c r="B7" s="21" t="s">
        <v>13</v>
      </c>
      <c r="C7" s="21" t="s">
        <v>14</v>
      </c>
      <c r="D7" s="21" t="s">
        <v>15</v>
      </c>
      <c r="E7" s="21" t="s">
        <v>16</v>
      </c>
      <c r="F7" s="21" t="s">
        <v>17</v>
      </c>
      <c r="G7" s="21" t="s">
        <v>55</v>
      </c>
      <c r="H7" s="21" t="s">
        <v>56</v>
      </c>
      <c r="I7" s="21" t="s">
        <v>57</v>
      </c>
      <c r="J7" s="21" t="s">
        <v>22</v>
      </c>
    </row>
    <row r="8" ht="26.25" customHeight="1">
      <c r="A8" s="30" t="s">
        <v>23</v>
      </c>
      <c r="B8" s="31" t="s">
        <v>24</v>
      </c>
      <c r="C8" s="32">
        <f>'Registro Talento Humano'!C8</f>
        <v>72346118</v>
      </c>
      <c r="D8" s="33" t="str">
        <f>'Registro Talento Humano'!D8</f>
        <v>CARLOS JAVIER VIZCAINO GUERRERO</v>
      </c>
      <c r="E8" s="33" t="str">
        <f>'Registro Talento Humano'!E8</f>
        <v>ENDOCRINOLOGO / INTERNISTA</v>
      </c>
      <c r="F8" s="33" t="str">
        <f>'Registro Talento Humano'!F8</f>
        <v>Asistencial</v>
      </c>
      <c r="G8" s="34">
        <v>46484.0</v>
      </c>
      <c r="H8" s="35">
        <v>46595.0</v>
      </c>
      <c r="I8" s="36" t="s">
        <v>58</v>
      </c>
      <c r="J8" s="37" t="s">
        <v>59</v>
      </c>
    </row>
    <row r="9" ht="26.25" customHeight="1">
      <c r="A9" s="36" t="s">
        <v>31</v>
      </c>
      <c r="B9" s="31" t="s">
        <v>24</v>
      </c>
      <c r="C9" s="32">
        <f>'Registro Talento Humano'!C10</f>
        <v>1102756733</v>
      </c>
      <c r="D9" s="33" t="str">
        <f>'Registro Talento Humano'!D10</f>
        <v>JULIO EDIL BENITEZ MONTES</v>
      </c>
      <c r="E9" s="33" t="str">
        <f>'Registro Talento Humano'!E10</f>
        <v>DEPORTOLOGO</v>
      </c>
      <c r="F9" s="33" t="str">
        <f>'Registro Talento Humano'!F10</f>
        <v>Asistencial</v>
      </c>
      <c r="G9" s="34">
        <v>46149.0</v>
      </c>
      <c r="H9" s="38" t="s">
        <v>60</v>
      </c>
      <c r="I9" s="36" t="s">
        <v>58</v>
      </c>
      <c r="J9" s="37" t="s">
        <v>61</v>
      </c>
    </row>
    <row r="10" ht="26.25" customHeight="1">
      <c r="A10" s="36" t="s">
        <v>37</v>
      </c>
      <c r="B10" s="31" t="s">
        <v>24</v>
      </c>
      <c r="C10" s="32">
        <f>'Registro Talento Humano'!C12</f>
        <v>64574115</v>
      </c>
      <c r="D10" s="33" t="str">
        <f>'Registro Talento Humano'!D12</f>
        <v>DALIA MARTINEZ CARDEÑO</v>
      </c>
      <c r="E10" s="33" t="str">
        <f>'Registro Talento Humano'!E12</f>
        <v>NUTRICIONISTA</v>
      </c>
      <c r="F10" s="33" t="str">
        <f>'Registro Talento Humano'!F12</f>
        <v>Asistencial</v>
      </c>
      <c r="G10" s="34">
        <v>46488.0</v>
      </c>
      <c r="H10" s="39" t="s">
        <v>62</v>
      </c>
      <c r="I10" s="36" t="s">
        <v>58</v>
      </c>
      <c r="J10" s="37" t="s">
        <v>63</v>
      </c>
    </row>
    <row r="11" ht="26.25" customHeight="1">
      <c r="A11" s="36" t="s">
        <v>42</v>
      </c>
      <c r="B11" s="31" t="s">
        <v>24</v>
      </c>
      <c r="C11" s="32" t="str">
        <f t="shared" ref="C11:F11" si="1">#REF!</f>
        <v>#REF!</v>
      </c>
      <c r="D11" s="33" t="str">
        <f t="shared" si="1"/>
        <v>#REF!</v>
      </c>
      <c r="E11" s="33" t="str">
        <f t="shared" si="1"/>
        <v>#REF!</v>
      </c>
      <c r="F11" s="33" t="str">
        <f t="shared" si="1"/>
        <v>#REF!</v>
      </c>
      <c r="G11" s="36" t="s">
        <v>64</v>
      </c>
      <c r="H11" s="40"/>
      <c r="I11" s="36" t="s">
        <v>58</v>
      </c>
      <c r="J11" s="37" t="s">
        <v>52</v>
      </c>
    </row>
    <row r="12" ht="26.25" hidden="1" customHeight="1">
      <c r="A12" s="30" t="s">
        <v>31</v>
      </c>
      <c r="B12" s="36" t="s">
        <v>24</v>
      </c>
      <c r="C12" s="41">
        <v>5.5231683E7</v>
      </c>
      <c r="D12" s="42" t="s">
        <v>32</v>
      </c>
      <c r="E12" s="42" t="s">
        <v>33</v>
      </c>
      <c r="F12" s="42" t="s">
        <v>27</v>
      </c>
      <c r="G12" s="42" t="s">
        <v>34</v>
      </c>
      <c r="H12" s="42" t="s">
        <v>35</v>
      </c>
      <c r="I12" s="43" t="b">
        <v>0</v>
      </c>
      <c r="J12" s="37" t="s">
        <v>65</v>
      </c>
    </row>
    <row r="13" ht="26.25" hidden="1" customHeight="1">
      <c r="A13" s="30" t="s">
        <v>66</v>
      </c>
      <c r="B13" s="30"/>
      <c r="C13" s="44"/>
      <c r="D13" s="45"/>
      <c r="E13" s="42" t="s">
        <v>67</v>
      </c>
      <c r="F13" s="42" t="s">
        <v>27</v>
      </c>
      <c r="G13" s="45"/>
      <c r="H13" s="45"/>
      <c r="I13" s="43" t="b">
        <v>0</v>
      </c>
      <c r="J13" s="45"/>
    </row>
    <row r="14" ht="26.25" hidden="1" customHeight="1">
      <c r="A14" s="30" t="s">
        <v>68</v>
      </c>
      <c r="B14" s="30"/>
      <c r="C14" s="44"/>
      <c r="D14" s="45"/>
      <c r="E14" s="46" t="s">
        <v>69</v>
      </c>
      <c r="F14" s="42" t="s">
        <v>27</v>
      </c>
      <c r="G14" s="45"/>
      <c r="H14" s="45"/>
      <c r="I14" s="43" t="b">
        <v>0</v>
      </c>
      <c r="J14" s="45"/>
    </row>
    <row r="15" ht="26.25" hidden="1" customHeight="1">
      <c r="A15" s="36" t="s">
        <v>70</v>
      </c>
      <c r="B15" s="30"/>
      <c r="C15" s="44"/>
      <c r="D15" s="45"/>
      <c r="E15" s="46" t="s">
        <v>52</v>
      </c>
      <c r="F15" s="42" t="s">
        <v>27</v>
      </c>
      <c r="G15" s="45"/>
      <c r="H15" s="45"/>
      <c r="I15" s="43" t="b">
        <v>0</v>
      </c>
      <c r="J15" s="45"/>
    </row>
  </sheetData>
  <autoFilter ref="$A$7:$J$15"/>
  <mergeCells count="9">
    <mergeCell ref="A5:C5"/>
    <mergeCell ref="A6:J6"/>
    <mergeCell ref="A1:C3"/>
    <mergeCell ref="D1:H1"/>
    <mergeCell ref="D2:H2"/>
    <mergeCell ref="D3:H3"/>
    <mergeCell ref="A4:J4"/>
    <mergeCell ref="E5:F5"/>
    <mergeCell ref="I5:J5"/>
  </mergeCells>
  <dataValidations>
    <dataValidation type="list" allowBlank="1" showErrorMessage="1" sqref="H12:H15">
      <formula1>"Term. Fijo,Indefinido,OPS,Obra o labor"</formula1>
    </dataValidation>
    <dataValidation type="list" allowBlank="1" showErrorMessage="1" sqref="F8:F15">
      <formula1>"Asistencial,Administrativo"</formula1>
    </dataValidation>
  </dataValidations>
  <hyperlinks>
    <hyperlink r:id="rId1" ref="J8"/>
    <hyperlink r:id="rId2" ref="J9"/>
    <hyperlink r:id="rId3" ref="J10"/>
    <hyperlink r:id="rId4" ref="J11"/>
    <hyperlink r:id="rId5" ref="J12"/>
  </hyperlinks>
  <printOptions horizontalCentered="1" verticalCentered="1"/>
  <pageMargins bottom="0.7480314960629921" footer="0.0" header="0.0" left="0.7086614173228347" right="0.7086614173228347" top="0.7480314960629921"/>
  <pageSetup fitToHeight="0" paperSize="9" orientation="landscape"/>
  <headerFooter>
    <oddFooter>&amp;LCopia controlada !                                                                                                                                                                                        &amp;C¡Su Salud es nuestra Prioridad&amp;R[Páginas]</oddFooter>
  </headerFooter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2019-08-22T17:02:35Z</dcterms:created>
  <dc:creator>LABORATORIO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11bbc558-123b-484d-8f2b-29967da7adc5</vt:lpwstr>
  </property>
</Properties>
</file>