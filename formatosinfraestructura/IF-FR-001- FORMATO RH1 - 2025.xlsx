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UBRE" sheetId="1" r:id="rId4"/>
    <sheet state="visible" name="NOVIEMBRE" sheetId="2" r:id="rId5"/>
    <sheet state="visible" name="DICIEMBRE" sheetId="3" r:id="rId6"/>
    <sheet state="hidden" name="PARTE 3" sheetId="4" r:id="rId7"/>
    <sheet state="hidden" name="PARTE 2" sheetId="5" r:id="rId8"/>
  </sheets>
  <definedNames/>
  <calcPr/>
  <extLst>
    <ext uri="GoogleSheetsCustomDataVersion2">
      <go:sheetsCustomData xmlns:go="http://customooxmlschemas.google.com/" r:id="rId9" roundtripDataChecksum="xw62IVG8YbRZYbUQsO85zo3Xti3fC59ydNeek62vfx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======
ID#AAAArs01bMg
edna    (2023-03-15 14:45:59)
SGA: Relacione el peso por mes.</t>
      </text>
    </comment>
  </commentList>
  <extLst>
    <ext uri="GoogleSheetsCustomDataVersion2">
      <go:sheetsCustomData xmlns:go="http://customooxmlschemas.google.com/" r:id="rId1" roundtripDataSignature="AMtx7mj9kk4+7aocwAa9890/7hLs4ivUY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======
ID#AAAArs01bMs
edna    (2023-03-15 14:45:59)
SGA: Personas que trabajan directanmente en la unidad sea laboratorio, instituto u otro.</t>
      </text>
    </comment>
    <comment authorId="0" ref="B3">
      <text>
        <t xml:space="preserve">======
ID#AAAArs01bMo
edna    (2023-03-15 14:45:59)
SGA: Las realizadas, no pueden se mayores que las programadas.</t>
      </text>
    </comment>
    <comment authorId="0" ref="A17">
      <text>
        <t xml:space="preserve">======
ID#AAAArs01bMk
edna    (2023-03-15 14:45:59)
SGA: Por favor si no se realizaron capcitaciones describa las razones.</t>
      </text>
    </comment>
  </commentList>
  <extLst>
    <ext uri="GoogleSheetsCustomDataVersion2">
      <go:sheetsCustomData xmlns:go="http://customooxmlschemas.google.com/" r:id="rId1" roundtripDataSignature="AMtx7mj1s8BIN29O1O4m+ngv3x0lfKpDgg=="/>
    </ext>
  </extLst>
</comments>
</file>

<file path=xl/sharedStrings.xml><?xml version="1.0" encoding="utf-8"?>
<sst xmlns="http://schemas.openxmlformats.org/spreadsheetml/2006/main" count="154" uniqueCount="66">
  <si>
    <t>ESTANDAR DE INFRAESTRUCTURA- GESTION AMBIENTAL</t>
  </si>
  <si>
    <t>Codigo</t>
  </si>
  <si>
    <t>IF-FR-001</t>
  </si>
  <si>
    <t>FORMATO RH-1 INDICADORES DE GESTIÓN INTERNA DE DESTINACIÓN</t>
  </si>
  <si>
    <t xml:space="preserve">Version </t>
  </si>
  <si>
    <t xml:space="preserve">Fecha </t>
  </si>
  <si>
    <t>NOMBRE</t>
  </si>
  <si>
    <t>CARLOS JAVIER VIZCAINO</t>
  </si>
  <si>
    <t>FECHA DE SEGUIMIENTO: 01-10-2024</t>
  </si>
  <si>
    <t>RESPONSABLE DEL DILIGENCIAMIENTO: SERVICIOS GENERALES</t>
  </si>
  <si>
    <t>RESPONSABLE DE VERIFICAICON: CALIDAD</t>
  </si>
  <si>
    <t>DIA</t>
  </si>
  <si>
    <t>CANTIDAD DE RESIDUOS NO PELIGROSOS GENERADOS (kg/DIA)</t>
  </si>
  <si>
    <t>CANTIDAD DE RESIDUOS PELIGROSOS GENERADOS (kg/DIA)</t>
  </si>
  <si>
    <t>PRODUCCION TOTAL DE RESIDUOS NO PELIGROSOS (KG)</t>
  </si>
  <si>
    <t>PRODUCCION TOTAL DE RESIDUOS PELIGROSOS (KG)</t>
  </si>
  <si>
    <t>PRODUCCION TOTAL DE RESIDUOS GENERADOS (KG)</t>
  </si>
  <si>
    <t>RESIDUOS INFECCIOSOS</t>
  </si>
  <si>
    <t>RESIDUOS NO PELIGROSOS</t>
  </si>
  <si>
    <t>RESIDUOS PELIGROSOS</t>
  </si>
  <si>
    <t>Ordinarios e inertes (kg)</t>
  </si>
  <si>
    <t>Reciclables (kg)</t>
  </si>
  <si>
    <t>Biodegradables  (kg)</t>
  </si>
  <si>
    <t>Biosanitarios (kg)</t>
  </si>
  <si>
    <t>Cortopunzante(kg)</t>
  </si>
  <si>
    <t>0.5</t>
  </si>
  <si>
    <t>0.8</t>
  </si>
  <si>
    <t>Total MES</t>
  </si>
  <si>
    <t>Promedio Día</t>
  </si>
  <si>
    <t xml:space="preserve">ANALISIS: Describa la interpretación de los datos; Si genera otros residuos o realiza otro sistema de tratamiento especifiquelo. En caso de que no genere todos los tipos de residuos escritos en el formato coloque cero en todos los espacios. </t>
  </si>
  <si>
    <t>Residuos Ordinarios (No peligrosos)</t>
  </si>
  <si>
    <t>Residuos biodegradables (No peligrosos)</t>
  </si>
  <si>
    <t>Residuos Reciclables (No peligrosos)</t>
  </si>
  <si>
    <t>Residuos Biosanitarios, cortopunzantes, anatomopalogicos, químicos (Peligrosos)</t>
  </si>
  <si>
    <t>Radiactivos (peligrosos)</t>
  </si>
  <si>
    <t>PORCENTAJES</t>
  </si>
  <si>
    <t>FORMULAS</t>
  </si>
  <si>
    <t>ITDNA=(RNA/RT)X100</t>
  </si>
  <si>
    <t>IDA=(RA/RT)X100</t>
  </si>
  <si>
    <t>IDBTE=(RBTE/RT)X100</t>
  </si>
  <si>
    <t>ADRIANA SALAZAR</t>
  </si>
  <si>
    <t xml:space="preserve">INDICADOR DE BENEFICIO </t>
  </si>
  <si>
    <t>MES</t>
  </si>
  <si>
    <t>PESO (kg)</t>
  </si>
  <si>
    <t>INGRESOS POR RECICLAJE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</si>
  <si>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</si>
  <si>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</si>
  <si>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</si>
  <si>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</si>
  <si>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</si>
  <si>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</si>
  <si>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</si>
  <si>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</si>
  <si>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</si>
  <si>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</si>
  <si>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</si>
  <si>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</si>
  <si>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INDICADOR DE CAPACITACIÓN </t>
  </si>
  <si>
    <t xml:space="preserve">JORNADAS DE CAPACITACIÓN </t>
  </si>
  <si>
    <t xml:space="preserve">PERSONAL </t>
  </si>
  <si>
    <t xml:space="preserve">REALIZADAS </t>
  </si>
  <si>
    <t xml:space="preserve">PROGRAMADAS </t>
  </si>
  <si>
    <t>ENTRENADO</t>
  </si>
  <si>
    <t>TOTAL TRABAJADORES UNIDAD</t>
  </si>
  <si>
    <t xml:space="preserve">ENERO </t>
  </si>
  <si>
    <t>OBSERVACIONES: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</si>
</sst>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-mm-yyyy"/>
    <numFmt numFmtId="166" formatCode="_(* #,##0_);_(* \(#,##0\);_(* &quot;-&quot;??_);_(@_)"/>
    <numFmt numFmtId="167" formatCode="_(* #,##0.00_);_(* \(#,##0.00\);_(* &quot;-&quot;??_);_(@_)"/>
    <numFmt numFmtId="168" formatCode="_(* #,##0.0_);_(* \(#,##0.0\);_(* &quot;-&quot;??_);_(@_)"/>
    <numFmt numFmtId="169" formatCode="0.0%"/>
  </numFmts>
  <fonts count="17">
    <font>
      <sz val="11.0"/>
      <color theme="1"/>
      <name val="Calibri"/>
      <scheme val="minor"/>
    </font>
    <font>
      <sz val="12.0"/>
      <color theme="1"/>
      <name val="Century Gothic"/>
    </font>
    <font/>
    <font>
      <b/>
      <sz val="12.0"/>
      <color theme="1"/>
      <name val="Century Gothic"/>
    </font>
    <font>
      <b/>
      <sz val="12.0"/>
      <color rgb="FF000000"/>
      <name val="Century Gothic"/>
    </font>
    <font>
      <sz val="7.0"/>
      <color theme="1"/>
      <name val="Century Gothic"/>
    </font>
    <font>
      <b/>
      <sz val="10.0"/>
      <color theme="1"/>
      <name val="Century Gothic"/>
    </font>
    <font>
      <sz val="11.0"/>
      <color theme="1"/>
      <name val="Century Gothic"/>
    </font>
    <font>
      <b/>
      <sz val="7.0"/>
      <color theme="1"/>
      <name val="Century Gothic"/>
    </font>
    <font>
      <b/>
      <sz val="10.0"/>
      <color theme="0"/>
      <name val="Century Gothic"/>
    </font>
    <font>
      <sz val="10.0"/>
      <color theme="1"/>
      <name val="Century Gothic"/>
    </font>
    <font>
      <color theme="1"/>
      <name val="Century Gothic"/>
    </font>
    <font>
      <sz val="9.0"/>
      <color theme="1"/>
      <name val="Century Gothic"/>
    </font>
    <font>
      <sz val="7.0"/>
      <color rgb="FF800080"/>
      <name val="Century Gothic"/>
    </font>
    <font>
      <b/>
      <sz val="8.0"/>
      <color theme="1"/>
      <name val="Century Gothic"/>
    </font>
    <font>
      <b/>
      <sz val="11.0"/>
      <color theme="1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339966"/>
        <bgColor rgb="FF339966"/>
      </patternFill>
    </fill>
    <fill>
      <patternFill patternType="solid">
        <fgColor rgb="FFFFFF99"/>
        <bgColor rgb="FFFFFF99"/>
      </patternFill>
    </fill>
    <fill>
      <patternFill patternType="solid">
        <fgColor rgb="FF969696"/>
        <bgColor rgb="FF969696"/>
      </patternFill>
    </fill>
    <fill>
      <patternFill patternType="solid">
        <fgColor rgb="FF800080"/>
        <bgColor rgb="FF800080"/>
      </patternFill>
    </fill>
  </fills>
  <borders count="4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8" fillId="0" fontId="2" numFmtId="0" xfId="0" applyBorder="1" applyFont="1"/>
    <xf borderId="9" fillId="0" fontId="2" numFmtId="0" xfId="0" applyBorder="1" applyFont="1"/>
    <xf borderId="1" fillId="0" fontId="3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1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6" numFmtId="165" xfId="0" applyAlignment="1" applyBorder="1" applyFont="1" applyNumberFormat="1">
      <alignment horizontal="left" shrinkToFit="0" vertical="center" wrapText="1"/>
    </xf>
    <xf borderId="0" fillId="0" fontId="7" numFmtId="0" xfId="0" applyAlignment="1" applyFont="1">
      <alignment vertical="center"/>
    </xf>
    <xf borderId="13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14" fillId="0" fontId="2" numFmtId="0" xfId="0" applyBorder="1" applyFont="1"/>
    <xf borderId="7" fillId="3" fontId="9" numFmtId="0" xfId="0" applyAlignment="1" applyBorder="1" applyFill="1" applyFont="1">
      <alignment horizontal="center" shrinkToFit="0" vertical="center" wrapText="1"/>
    </xf>
    <xf borderId="7" fillId="4" fontId="6" numFmtId="0" xfId="0" applyAlignment="1" applyBorder="1" applyFill="1" applyFont="1">
      <alignment horizontal="center" shrinkToFit="0" vertical="center" wrapText="1"/>
    </xf>
    <xf borderId="7" fillId="5" fontId="6" numFmtId="0" xfId="0" applyAlignment="1" applyBorder="1" applyFill="1" applyFont="1">
      <alignment horizontal="center" shrinkToFit="0" vertical="center" wrapText="1"/>
    </xf>
    <xf borderId="7" fillId="6" fontId="6" numFmtId="0" xfId="0" applyAlignment="1" applyBorder="1" applyFill="1" applyFont="1">
      <alignment horizontal="center" shrinkToFit="0" vertical="center" wrapText="1"/>
    </xf>
    <xf borderId="7" fillId="7" fontId="10" numFmtId="0" xfId="0" applyAlignment="1" applyBorder="1" applyFill="1" applyFont="1">
      <alignment horizontal="center" vertical="center"/>
    </xf>
    <xf borderId="7" fillId="0" fontId="10" numFmtId="2" xfId="0" applyAlignment="1" applyBorder="1" applyFont="1" applyNumberFormat="1">
      <alignment horizontal="center" vertical="center"/>
    </xf>
    <xf borderId="7" fillId="0" fontId="10" numFmtId="166" xfId="0" applyAlignment="1" applyBorder="1" applyFont="1" applyNumberFormat="1">
      <alignment horizontal="center" vertical="center"/>
    </xf>
    <xf borderId="7" fillId="7" fontId="10" numFmtId="167" xfId="0" applyAlignment="1" applyBorder="1" applyFont="1" applyNumberFormat="1">
      <alignment horizontal="center" vertical="center"/>
    </xf>
    <xf borderId="15" fillId="7" fontId="5" numFmtId="0" xfId="0" applyAlignment="1" applyBorder="1" applyFont="1">
      <alignment vertical="center"/>
    </xf>
    <xf borderId="7" fillId="0" fontId="10" numFmtId="2" xfId="0" applyAlignment="1" applyBorder="1" applyFont="1" applyNumberFormat="1">
      <alignment horizontal="center" shrinkToFit="0" vertical="center" wrapText="1"/>
    </xf>
    <xf borderId="7" fillId="0" fontId="6" numFmtId="2" xfId="0" applyAlignment="1" applyBorder="1" applyFont="1" applyNumberForma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10" numFmtId="167" xfId="0" applyAlignment="1" applyBorder="1" applyFont="1" applyNumberFormat="1">
      <alignment horizontal="center" vertical="center"/>
    </xf>
    <xf borderId="0" fillId="0" fontId="11" numFmtId="0" xfId="0" applyFont="1"/>
    <xf borderId="7" fillId="0" fontId="10" numFmtId="1" xfId="0" applyAlignment="1" applyBorder="1" applyFont="1" applyNumberFormat="1">
      <alignment horizontal="center" vertical="center"/>
    </xf>
    <xf borderId="7" fillId="0" fontId="10" numFmtId="167" xfId="0" applyAlignment="1" applyBorder="1" applyFont="1" applyNumberFormat="1">
      <alignment horizontal="center" readingOrder="0" vertical="center"/>
    </xf>
    <xf borderId="7" fillId="0" fontId="10" numFmtId="168" xfId="0" applyAlignment="1" applyBorder="1" applyFont="1" applyNumberFormat="1">
      <alignment horizontal="center" vertical="center"/>
    </xf>
    <xf borderId="7" fillId="0" fontId="6" numFmtId="2" xfId="0" applyAlignment="1" applyBorder="1" applyFont="1" applyNumberFormat="1">
      <alignment horizontal="center" vertical="center"/>
    </xf>
    <xf borderId="7" fillId="0" fontId="6" numFmtId="2" xfId="0" applyAlignment="1" applyBorder="1" applyFont="1" applyNumberFormat="1">
      <alignment vertical="center"/>
    </xf>
    <xf borderId="0" fillId="0" fontId="6" numFmtId="2" xfId="0" applyAlignment="1" applyFont="1" applyNumberFormat="1">
      <alignment vertical="center"/>
    </xf>
    <xf borderId="16" fillId="0" fontId="5" numFmtId="0" xfId="0" applyAlignment="1" applyBorder="1" applyFont="1">
      <alignment horizontal="center" vertical="center"/>
    </xf>
    <xf borderId="17" fillId="0" fontId="5" numFmtId="166" xfId="0" applyAlignment="1" applyBorder="1" applyFont="1" applyNumberFormat="1">
      <alignment vertical="center"/>
    </xf>
    <xf borderId="7" fillId="0" fontId="5" numFmtId="166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12" numFmtId="0" xfId="0" applyAlignment="1" applyFont="1">
      <alignment horizontal="left" shrinkToFit="0" vertical="center" wrapText="1"/>
    </xf>
    <xf borderId="18" fillId="8" fontId="5" numFmtId="0" xfId="0" applyAlignment="1" applyBorder="1" applyFill="1" applyFont="1">
      <alignment horizontal="center" vertical="center"/>
    </xf>
    <xf borderId="19" fillId="0" fontId="12" numFmtId="0" xfId="0" applyAlignment="1" applyBorder="1" applyFont="1">
      <alignment horizontal="left" vertical="center"/>
    </xf>
    <xf borderId="19" fillId="0" fontId="2" numFmtId="0" xfId="0" applyBorder="1" applyFont="1"/>
    <xf borderId="20" fillId="9" fontId="5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left" vertical="center"/>
    </xf>
    <xf borderId="20" fillId="10" fontId="5" numFmtId="0" xfId="0" applyAlignment="1" applyBorder="1" applyFill="1" applyFont="1">
      <alignment horizontal="center" vertical="center"/>
    </xf>
    <xf borderId="20" fillId="6" fontId="5" numFmtId="0" xfId="0" applyAlignment="1" applyBorder="1" applyFont="1">
      <alignment horizontal="center" vertical="center"/>
    </xf>
    <xf borderId="21" fillId="11" fontId="13" numFmtId="0" xfId="0" applyAlignment="1" applyBorder="1" applyFill="1" applyFont="1">
      <alignment horizontal="center" vertical="center"/>
    </xf>
    <xf borderId="22" fillId="0" fontId="12" numFmtId="0" xfId="0" applyAlignment="1" applyBorder="1" applyFont="1">
      <alignment vertical="center"/>
    </xf>
    <xf borderId="22" fillId="0" fontId="5" numFmtId="0" xfId="0" applyAlignment="1" applyBorder="1" applyFont="1">
      <alignment vertical="center"/>
    </xf>
    <xf borderId="7" fillId="0" fontId="6" numFmtId="0" xfId="0" applyAlignment="1" applyBorder="1" applyFont="1">
      <alignment horizontal="right" vertical="center"/>
    </xf>
    <xf borderId="7" fillId="0" fontId="6" numFmtId="169" xfId="0" applyAlignment="1" applyBorder="1" applyFont="1" applyNumberFormat="1">
      <alignment horizontal="right" vertical="center"/>
    </xf>
    <xf borderId="0" fillId="0" fontId="5" numFmtId="0" xfId="0" applyAlignment="1" applyFont="1">
      <alignment horizontal="right" vertical="center"/>
    </xf>
    <xf borderId="7" fillId="0" fontId="6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4" fillId="0" fontId="1" numFmtId="164" xfId="0" applyAlignment="1" applyBorder="1" applyFont="1" applyNumberFormat="1">
      <alignment horizontal="center" readingOrder="0" shrinkToFit="0" vertical="center" wrapText="1"/>
    </xf>
    <xf borderId="7" fillId="0" fontId="10" numFmtId="2" xfId="0" applyAlignment="1" applyBorder="1" applyFont="1" applyNumberFormat="1">
      <alignment horizontal="center" readingOrder="0" vertical="center"/>
    </xf>
    <xf borderId="23" fillId="0" fontId="15" numFmtId="0" xfId="0" applyAlignment="1" applyBorder="1" applyFon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0" fillId="0" fontId="16" numFmtId="0" xfId="0" applyFont="1"/>
    <xf borderId="26" fillId="0" fontId="15" numFmtId="0" xfId="0" applyAlignment="1" applyBorder="1" applyFont="1">
      <alignment horizontal="center"/>
    </xf>
    <xf borderId="7" fillId="0" fontId="15" numFmtId="0" xfId="0" applyAlignment="1" applyBorder="1" applyFont="1">
      <alignment horizontal="center"/>
    </xf>
    <xf borderId="27" fillId="0" fontId="15" numFmtId="0" xfId="0" applyAlignment="1" applyBorder="1" applyFont="1">
      <alignment horizontal="center"/>
    </xf>
    <xf borderId="26" fillId="0" fontId="16" numFmtId="0" xfId="0" applyBorder="1" applyFont="1"/>
    <xf borderId="7" fillId="0" fontId="16" numFmtId="0" xfId="0" applyBorder="1" applyFont="1"/>
    <xf borderId="27" fillId="0" fontId="16" numFmtId="0" xfId="0" applyBorder="1" applyFont="1"/>
    <xf borderId="16" fillId="0" fontId="16" numFmtId="0" xfId="0" applyBorder="1" applyFont="1"/>
    <xf borderId="17" fillId="0" fontId="16" numFmtId="0" xfId="0" applyBorder="1" applyFont="1"/>
    <xf borderId="28" fillId="0" fontId="16" numFmtId="0" xfId="0" applyBorder="1" applyFont="1"/>
    <xf borderId="29" fillId="0" fontId="15" numFmtId="0" xfId="0" applyAlignment="1" applyBorder="1" applyFont="1">
      <alignment horizontal="center"/>
    </xf>
    <xf borderId="30" fillId="0" fontId="2" numFmtId="0" xfId="0" applyBorder="1" applyFont="1"/>
    <xf borderId="31" fillId="0" fontId="2" numFmtId="0" xfId="0" applyBorder="1" applyFont="1"/>
    <xf borderId="0" fillId="0" fontId="15" numFmtId="0" xfId="0" applyFont="1"/>
    <xf borderId="32" fillId="0" fontId="15" numFmtId="0" xfId="0" applyAlignment="1" applyBorder="1" applyFont="1">
      <alignment horizontal="center" vertical="center"/>
    </xf>
    <xf borderId="33" fillId="0" fontId="15" numFmtId="0" xfId="0" applyAlignment="1" applyBorder="1" applyFont="1">
      <alignment horizontal="center"/>
    </xf>
    <xf borderId="34" fillId="0" fontId="2" numFmtId="0" xfId="0" applyBorder="1" applyFont="1"/>
    <xf borderId="35" fillId="0" fontId="2" numFmtId="0" xfId="0" applyBorder="1" applyFont="1"/>
    <xf borderId="26" fillId="0" fontId="15" numFmtId="0" xfId="0" applyAlignment="1" applyBorder="1" applyFont="1">
      <alignment horizontal="center" vertical="center"/>
    </xf>
    <xf borderId="27" fillId="0" fontId="15" numFmtId="0" xfId="0" applyAlignment="1" applyBorder="1" applyFont="1">
      <alignment horizontal="center" vertical="center"/>
    </xf>
    <xf borderId="27" fillId="0" fontId="15" numFmtId="0" xfId="0" applyAlignment="1" applyBorder="1" applyFont="1">
      <alignment horizontal="center" shrinkToFit="0" vertical="center" wrapText="1"/>
    </xf>
    <xf borderId="36" fillId="0" fontId="16" numFmtId="0" xfId="0" applyBorder="1" applyFont="1"/>
    <xf borderId="26" fillId="0" fontId="16" numFmtId="0" xfId="0" applyAlignment="1" applyBorder="1" applyFont="1">
      <alignment horizontal="center"/>
    </xf>
    <xf borderId="27" fillId="0" fontId="16" numFmtId="0" xfId="0" applyAlignment="1" applyBorder="1" applyFont="1">
      <alignment horizontal="center"/>
    </xf>
    <xf borderId="37" fillId="0" fontId="16" numFmtId="0" xfId="0" applyBorder="1" applyFont="1"/>
    <xf borderId="38" fillId="0" fontId="15" numFmtId="0" xfId="0" applyAlignment="1" applyBorder="1" applyFont="1">
      <alignment horizontal="left" vertical="top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22" fillId="0" fontId="2" numFmtId="0" xfId="0" applyBorder="1" applyFont="1"/>
    <xf borderId="43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1050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1050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3850" cy="266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2" max="2" width="15.14"/>
    <col customWidth="1" min="3" max="3" width="17.0"/>
    <col customWidth="1" min="4" max="4" width="20.29"/>
    <col customWidth="1" min="5" max="5" width="30.57"/>
    <col customWidth="1" min="6" max="6" width="34.43"/>
    <col customWidth="1" min="7" max="7" width="16.0"/>
    <col customWidth="1" min="8" max="8" width="15.0"/>
    <col customWidth="1" min="9" max="9" width="17.0"/>
    <col customWidth="1" min="10" max="19" width="11.43"/>
  </cols>
  <sheetData>
    <row r="1" ht="21.0" customHeight="1">
      <c r="A1" s="1"/>
      <c r="B1" s="2"/>
      <c r="C1" s="3"/>
      <c r="D1" s="4" t="s">
        <v>0</v>
      </c>
      <c r="E1" s="5"/>
      <c r="F1" s="6"/>
      <c r="G1" s="7" t="s">
        <v>1</v>
      </c>
      <c r="H1" s="8" t="s">
        <v>2</v>
      </c>
      <c r="I1" s="6"/>
      <c r="J1" s="9"/>
      <c r="K1" s="9"/>
      <c r="L1" s="9"/>
      <c r="M1" s="9"/>
      <c r="N1" s="9"/>
      <c r="O1" s="9"/>
      <c r="P1" s="9"/>
      <c r="Q1" s="9"/>
      <c r="R1" s="9"/>
      <c r="S1" s="9"/>
    </row>
    <row r="2" ht="21.0" customHeight="1">
      <c r="A2" s="10"/>
      <c r="C2" s="11"/>
      <c r="D2" s="12" t="s">
        <v>3</v>
      </c>
      <c r="E2" s="2"/>
      <c r="F2" s="3"/>
      <c r="G2" s="7" t="s">
        <v>4</v>
      </c>
      <c r="H2" s="8">
        <v>1.0</v>
      </c>
      <c r="I2" s="6"/>
      <c r="J2" s="9"/>
      <c r="K2" s="9"/>
      <c r="L2" s="9"/>
      <c r="M2" s="9"/>
      <c r="N2" s="9"/>
      <c r="O2" s="9"/>
      <c r="P2" s="9"/>
      <c r="Q2" s="9"/>
      <c r="R2" s="9"/>
      <c r="S2" s="9"/>
    </row>
    <row r="3" ht="21.0" customHeight="1">
      <c r="A3" s="13"/>
      <c r="B3" s="14"/>
      <c r="C3" s="15"/>
      <c r="D3" s="13"/>
      <c r="E3" s="14"/>
      <c r="F3" s="15"/>
      <c r="G3" s="7" t="s">
        <v>5</v>
      </c>
      <c r="H3" s="16">
        <v>45931.0</v>
      </c>
      <c r="I3" s="6"/>
      <c r="J3" s="9"/>
      <c r="K3" s="9"/>
      <c r="L3" s="9"/>
      <c r="M3" s="9"/>
      <c r="N3" s="9"/>
      <c r="O3" s="9"/>
      <c r="P3" s="9"/>
      <c r="Q3" s="9"/>
      <c r="R3" s="9"/>
      <c r="S3" s="9"/>
    </row>
    <row r="4" ht="15.0" customHeight="1">
      <c r="A4" s="17" t="s">
        <v>6</v>
      </c>
      <c r="B4" s="5"/>
      <c r="C4" s="5"/>
      <c r="D4" s="6"/>
      <c r="E4" s="18" t="s">
        <v>7</v>
      </c>
      <c r="F4" s="5"/>
      <c r="G4" s="5"/>
      <c r="H4" s="5"/>
      <c r="I4" s="6"/>
      <c r="J4" s="9"/>
      <c r="K4" s="9"/>
      <c r="L4" s="9"/>
      <c r="M4" s="9"/>
      <c r="N4" s="9"/>
      <c r="O4" s="9"/>
      <c r="P4" s="9"/>
      <c r="Q4" s="9"/>
      <c r="R4" s="9"/>
      <c r="S4" s="9"/>
    </row>
    <row r="5" ht="15.75" customHeight="1">
      <c r="A5" s="17" t="s">
        <v>8</v>
      </c>
      <c r="B5" s="5"/>
      <c r="C5" s="5"/>
      <c r="D5" s="6"/>
      <c r="E5" s="19"/>
      <c r="F5" s="6"/>
      <c r="G5" s="17"/>
      <c r="H5" s="5"/>
      <c r="I5" s="6"/>
      <c r="J5" s="20"/>
      <c r="K5" s="20"/>
      <c r="L5" s="20"/>
      <c r="M5" s="20"/>
      <c r="N5" s="20"/>
      <c r="O5" s="20"/>
      <c r="P5" s="20"/>
      <c r="Q5" s="20"/>
      <c r="R5" s="20"/>
      <c r="S5" s="20"/>
    </row>
    <row r="6">
      <c r="A6" s="17" t="s">
        <v>9</v>
      </c>
      <c r="B6" s="5"/>
      <c r="C6" s="5"/>
      <c r="D6" s="6"/>
      <c r="E6" s="17" t="s">
        <v>10</v>
      </c>
      <c r="F6" s="6"/>
      <c r="G6" s="17"/>
      <c r="H6" s="5"/>
      <c r="I6" s="6"/>
      <c r="J6" s="9"/>
      <c r="K6" s="9"/>
      <c r="L6" s="9"/>
      <c r="M6" s="9"/>
      <c r="N6" s="9"/>
      <c r="O6" s="9"/>
      <c r="P6" s="9"/>
      <c r="Q6" s="9"/>
      <c r="R6" s="9"/>
      <c r="S6" s="9"/>
    </row>
    <row r="7" ht="34.5" customHeight="1">
      <c r="A7" s="21" t="s">
        <v>11</v>
      </c>
      <c r="B7" s="22" t="s">
        <v>12</v>
      </c>
      <c r="D7" s="11"/>
      <c r="E7" s="23" t="s">
        <v>13</v>
      </c>
      <c r="F7" s="15"/>
      <c r="G7" s="24" t="s">
        <v>14</v>
      </c>
      <c r="H7" s="24" t="s">
        <v>15</v>
      </c>
      <c r="I7" s="24" t="s">
        <v>16</v>
      </c>
      <c r="J7" s="9"/>
      <c r="K7" s="9"/>
      <c r="L7" s="9"/>
      <c r="M7" s="9"/>
      <c r="N7" s="9"/>
      <c r="O7" s="9"/>
      <c r="P7" s="9"/>
      <c r="Q7" s="9"/>
      <c r="R7" s="9"/>
      <c r="S7" s="9"/>
    </row>
    <row r="8" ht="24.75" customHeight="1">
      <c r="A8" s="25"/>
      <c r="B8" s="13"/>
      <c r="C8" s="14"/>
      <c r="D8" s="15"/>
      <c r="E8" s="26" t="s">
        <v>17</v>
      </c>
      <c r="F8" s="6"/>
      <c r="G8" s="25"/>
      <c r="H8" s="25"/>
      <c r="I8" s="25"/>
      <c r="J8" s="9"/>
      <c r="K8" s="9"/>
      <c r="L8" s="9"/>
      <c r="M8" s="9"/>
      <c r="N8" s="9"/>
      <c r="O8" s="9"/>
      <c r="P8" s="9"/>
      <c r="Q8" s="9"/>
      <c r="R8" s="9"/>
      <c r="S8" s="9"/>
    </row>
    <row r="9" ht="63.75" customHeight="1">
      <c r="A9" s="25"/>
      <c r="B9" s="27" t="s">
        <v>18</v>
      </c>
      <c r="C9" s="5"/>
      <c r="D9" s="6"/>
      <c r="E9" s="27" t="s">
        <v>19</v>
      </c>
      <c r="F9" s="6"/>
      <c r="G9" s="25"/>
      <c r="H9" s="25"/>
      <c r="I9" s="25"/>
      <c r="J9" s="9"/>
      <c r="K9" s="9"/>
      <c r="L9" s="9"/>
      <c r="M9" s="9"/>
      <c r="N9" s="9"/>
      <c r="O9" s="9"/>
      <c r="P9" s="9"/>
      <c r="Q9" s="9"/>
      <c r="R9" s="9"/>
      <c r="S9" s="9"/>
    </row>
    <row r="10" ht="43.5" customHeight="1">
      <c r="A10" s="28"/>
      <c r="B10" s="29" t="s">
        <v>20</v>
      </c>
      <c r="C10" s="30" t="s">
        <v>21</v>
      </c>
      <c r="D10" s="31" t="s">
        <v>22</v>
      </c>
      <c r="E10" s="32" t="s">
        <v>23</v>
      </c>
      <c r="F10" s="32" t="s">
        <v>24</v>
      </c>
      <c r="G10" s="28"/>
      <c r="H10" s="28"/>
      <c r="I10" s="28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ht="19.5" customHeight="1">
      <c r="A11" s="33">
        <v>1.0</v>
      </c>
      <c r="B11" s="34"/>
      <c r="C11" s="34"/>
      <c r="D11" s="35"/>
      <c r="E11" s="35"/>
      <c r="F11" s="35"/>
      <c r="G11" s="36">
        <f t="shared" ref="G11:G41" si="1">+SUM(B11:D11)</f>
        <v>0</v>
      </c>
      <c r="H11" s="36">
        <f t="shared" ref="H11:H41" si="2">+SUM(E11:F11)</f>
        <v>0</v>
      </c>
      <c r="I11" s="36">
        <f t="shared" ref="I11:I41" si="3">+G11+H11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</row>
    <row r="12" ht="19.5" customHeight="1">
      <c r="A12" s="33">
        <v>2.0</v>
      </c>
      <c r="B12" s="38" t="s">
        <v>25</v>
      </c>
      <c r="C12" s="39" t="s">
        <v>26</v>
      </c>
      <c r="D12" s="40"/>
      <c r="E12" s="41">
        <v>1.0</v>
      </c>
      <c r="F12" s="40"/>
      <c r="G12" s="36">
        <f t="shared" si="1"/>
        <v>0</v>
      </c>
      <c r="H12" s="36">
        <f t="shared" si="2"/>
        <v>1</v>
      </c>
      <c r="I12" s="36">
        <f t="shared" si="3"/>
        <v>1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 ht="19.5" customHeight="1">
      <c r="A13" s="33">
        <v>3.0</v>
      </c>
      <c r="B13" s="38"/>
      <c r="C13" s="39"/>
      <c r="D13" s="40"/>
      <c r="E13" s="40"/>
      <c r="F13" s="40"/>
      <c r="G13" s="36">
        <f t="shared" si="1"/>
        <v>0</v>
      </c>
      <c r="H13" s="36">
        <f t="shared" si="2"/>
        <v>0</v>
      </c>
      <c r="I13" s="36">
        <f t="shared" si="3"/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</row>
    <row r="14" ht="19.5" customHeight="1">
      <c r="A14" s="33">
        <v>4.0</v>
      </c>
      <c r="B14" s="34"/>
      <c r="C14" s="34"/>
      <c r="D14" s="35"/>
      <c r="E14" s="35"/>
      <c r="F14" s="35"/>
      <c r="G14" s="36">
        <f t="shared" si="1"/>
        <v>0</v>
      </c>
      <c r="H14" s="36">
        <f t="shared" si="2"/>
        <v>0</v>
      </c>
      <c r="I14" s="36">
        <f t="shared" si="3"/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</row>
    <row r="15" ht="19.5" customHeight="1">
      <c r="A15" s="33">
        <v>5.0</v>
      </c>
      <c r="B15" s="34"/>
      <c r="C15" s="34"/>
      <c r="D15" s="35"/>
      <c r="E15" s="35"/>
      <c r="F15" s="35"/>
      <c r="G15" s="36">
        <f t="shared" si="1"/>
        <v>0</v>
      </c>
      <c r="H15" s="36">
        <f t="shared" si="2"/>
        <v>0</v>
      </c>
      <c r="I15" s="36">
        <f t="shared" si="3"/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</row>
    <row r="16" ht="19.5" customHeight="1">
      <c r="A16" s="33">
        <v>6.0</v>
      </c>
      <c r="B16" s="34"/>
      <c r="C16" s="34"/>
      <c r="D16" s="35"/>
      <c r="E16" s="35"/>
      <c r="F16" s="35"/>
      <c r="G16" s="36">
        <f t="shared" si="1"/>
        <v>0</v>
      </c>
      <c r="H16" s="36">
        <f t="shared" si="2"/>
        <v>0</v>
      </c>
      <c r="I16" s="36">
        <f t="shared" si="3"/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</row>
    <row r="17" ht="19.5" customHeight="1">
      <c r="A17" s="33">
        <v>7.0</v>
      </c>
      <c r="B17" s="34"/>
      <c r="C17" s="34"/>
      <c r="D17" s="35"/>
      <c r="E17" s="35"/>
      <c r="F17" s="35"/>
      <c r="G17" s="36">
        <f t="shared" si="1"/>
        <v>0</v>
      </c>
      <c r="H17" s="36">
        <f t="shared" si="2"/>
        <v>0</v>
      </c>
      <c r="I17" s="36">
        <f t="shared" si="3"/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</row>
    <row r="18" ht="19.5" customHeight="1">
      <c r="A18" s="33">
        <v>8.0</v>
      </c>
      <c r="B18" s="34"/>
      <c r="C18" s="34"/>
      <c r="D18" s="35"/>
      <c r="E18" s="35"/>
      <c r="F18" s="35"/>
      <c r="G18" s="36">
        <f t="shared" si="1"/>
        <v>0</v>
      </c>
      <c r="H18" s="36">
        <f t="shared" si="2"/>
        <v>0</v>
      </c>
      <c r="I18" s="36">
        <f t="shared" si="3"/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</row>
    <row r="19" ht="19.5" customHeight="1">
      <c r="A19" s="33">
        <v>9.0</v>
      </c>
      <c r="B19" s="34"/>
      <c r="C19" s="34"/>
      <c r="D19" s="42"/>
      <c r="E19" s="42"/>
      <c r="F19" s="35"/>
      <c r="G19" s="36">
        <f t="shared" si="1"/>
        <v>0</v>
      </c>
      <c r="H19" s="36">
        <f t="shared" si="2"/>
        <v>0</v>
      </c>
      <c r="I19" s="36">
        <f t="shared" si="3"/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</row>
    <row r="20" ht="19.5" customHeight="1">
      <c r="A20" s="33">
        <v>10.0</v>
      </c>
      <c r="B20" s="34"/>
      <c r="C20" s="34"/>
      <c r="D20" s="42"/>
      <c r="E20" s="42"/>
      <c r="F20" s="35"/>
      <c r="G20" s="36">
        <f t="shared" si="1"/>
        <v>0</v>
      </c>
      <c r="H20" s="36">
        <f t="shared" si="2"/>
        <v>0</v>
      </c>
      <c r="I20" s="36">
        <f t="shared" si="3"/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</row>
    <row r="21" ht="19.5" customHeight="1">
      <c r="A21" s="33">
        <v>11.0</v>
      </c>
      <c r="B21" s="34"/>
      <c r="C21" s="34"/>
      <c r="D21" s="42"/>
      <c r="E21" s="42"/>
      <c r="F21" s="35"/>
      <c r="G21" s="36">
        <f t="shared" si="1"/>
        <v>0</v>
      </c>
      <c r="H21" s="36">
        <f t="shared" si="2"/>
        <v>0</v>
      </c>
      <c r="I21" s="36">
        <f t="shared" si="3"/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</row>
    <row r="22" ht="19.5" customHeight="1">
      <c r="A22" s="33">
        <v>12.0</v>
      </c>
      <c r="B22" s="34"/>
      <c r="C22" s="34"/>
      <c r="D22" s="42"/>
      <c r="E22" s="42"/>
      <c r="F22" s="35"/>
      <c r="G22" s="36">
        <f t="shared" si="1"/>
        <v>0</v>
      </c>
      <c r="H22" s="36">
        <f t="shared" si="2"/>
        <v>0</v>
      </c>
      <c r="I22" s="36">
        <f t="shared" si="3"/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</row>
    <row r="23" ht="19.5" customHeight="1">
      <c r="A23" s="33">
        <v>13.0</v>
      </c>
      <c r="B23" s="34"/>
      <c r="C23" s="34"/>
      <c r="D23" s="42"/>
      <c r="E23" s="43"/>
      <c r="F23" s="35"/>
      <c r="G23" s="36">
        <f t="shared" si="1"/>
        <v>0</v>
      </c>
      <c r="H23" s="36">
        <f t="shared" si="2"/>
        <v>0</v>
      </c>
      <c r="I23" s="36">
        <f t="shared" si="3"/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</row>
    <row r="24" ht="19.5" customHeight="1">
      <c r="A24" s="33">
        <v>14.0</v>
      </c>
      <c r="B24" s="34"/>
      <c r="C24" s="34"/>
      <c r="D24" s="42"/>
      <c r="E24" s="42"/>
      <c r="F24" s="35"/>
      <c r="G24" s="36">
        <f t="shared" si="1"/>
        <v>0</v>
      </c>
      <c r="H24" s="36">
        <f t="shared" si="2"/>
        <v>0</v>
      </c>
      <c r="I24" s="36">
        <f t="shared" si="3"/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</row>
    <row r="25" ht="19.5" customHeight="1">
      <c r="A25" s="33">
        <v>15.0</v>
      </c>
      <c r="B25" s="34"/>
      <c r="C25" s="34"/>
      <c r="D25" s="42"/>
      <c r="E25" s="42"/>
      <c r="F25" s="35"/>
      <c r="G25" s="36">
        <f t="shared" si="1"/>
        <v>0</v>
      </c>
      <c r="H25" s="36">
        <f t="shared" si="2"/>
        <v>0</v>
      </c>
      <c r="I25" s="36">
        <f t="shared" si="3"/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</row>
    <row r="26" ht="19.5" customHeight="1">
      <c r="A26" s="33">
        <v>16.0</v>
      </c>
      <c r="B26" s="34"/>
      <c r="C26" s="34"/>
      <c r="D26" s="42"/>
      <c r="E26" s="42"/>
      <c r="F26" s="35"/>
      <c r="G26" s="36">
        <f t="shared" si="1"/>
        <v>0</v>
      </c>
      <c r="H26" s="36">
        <f t="shared" si="2"/>
        <v>0</v>
      </c>
      <c r="I26" s="36">
        <f t="shared" si="3"/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</row>
    <row r="27" ht="19.5" customHeight="1">
      <c r="A27" s="33">
        <v>17.0</v>
      </c>
      <c r="B27" s="34"/>
      <c r="C27" s="34"/>
      <c r="D27" s="42"/>
      <c r="E27" s="42"/>
      <c r="F27" s="35"/>
      <c r="G27" s="36">
        <f t="shared" si="1"/>
        <v>0</v>
      </c>
      <c r="H27" s="36">
        <f t="shared" si="2"/>
        <v>0</v>
      </c>
      <c r="I27" s="36">
        <f t="shared" si="3"/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</row>
    <row r="28" ht="19.5" customHeight="1">
      <c r="A28" s="33">
        <v>18.0</v>
      </c>
      <c r="B28" s="34"/>
      <c r="C28" s="34"/>
      <c r="D28" s="42"/>
      <c r="E28" s="42"/>
      <c r="F28" s="35"/>
      <c r="G28" s="36">
        <f t="shared" si="1"/>
        <v>0</v>
      </c>
      <c r="H28" s="36">
        <f t="shared" si="2"/>
        <v>0</v>
      </c>
      <c r="I28" s="36">
        <f t="shared" si="3"/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</row>
    <row r="29" ht="19.5" customHeight="1">
      <c r="A29" s="33">
        <v>19.0</v>
      </c>
      <c r="B29" s="34"/>
      <c r="C29" s="34"/>
      <c r="D29" s="42"/>
      <c r="E29" s="42"/>
      <c r="F29" s="35"/>
      <c r="G29" s="36">
        <f t="shared" si="1"/>
        <v>0</v>
      </c>
      <c r="H29" s="36">
        <f t="shared" si="2"/>
        <v>0</v>
      </c>
      <c r="I29" s="36">
        <f t="shared" si="3"/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</row>
    <row r="30" ht="19.5" customHeight="1">
      <c r="A30" s="33">
        <v>20.0</v>
      </c>
      <c r="B30" s="34" t="s">
        <v>25</v>
      </c>
      <c r="C30" s="44">
        <v>1.0</v>
      </c>
      <c r="D30" s="42"/>
      <c r="E30" s="45">
        <v>1.0</v>
      </c>
      <c r="F30" s="35"/>
      <c r="G30" s="36">
        <f t="shared" si="1"/>
        <v>1</v>
      </c>
      <c r="H30" s="36">
        <f t="shared" si="2"/>
        <v>1</v>
      </c>
      <c r="I30" s="36">
        <f t="shared" si="3"/>
        <v>2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 ht="19.5" customHeight="1">
      <c r="A31" s="33">
        <v>21.0</v>
      </c>
      <c r="B31" s="34"/>
      <c r="C31" s="34"/>
      <c r="D31" s="42"/>
      <c r="E31" s="42"/>
      <c r="F31" s="35"/>
      <c r="G31" s="36">
        <f t="shared" si="1"/>
        <v>0</v>
      </c>
      <c r="H31" s="36">
        <f t="shared" si="2"/>
        <v>0</v>
      </c>
      <c r="I31" s="36">
        <f t="shared" si="3"/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</row>
    <row r="32" ht="19.5" customHeight="1">
      <c r="A32" s="33">
        <v>22.0</v>
      </c>
      <c r="B32" s="34"/>
      <c r="C32" s="34"/>
      <c r="D32" s="42"/>
      <c r="E32" s="42"/>
      <c r="F32" s="35"/>
      <c r="G32" s="36">
        <f t="shared" si="1"/>
        <v>0</v>
      </c>
      <c r="H32" s="36">
        <f t="shared" si="2"/>
        <v>0</v>
      </c>
      <c r="I32" s="36">
        <f t="shared" si="3"/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</row>
    <row r="33" ht="19.5" customHeight="1">
      <c r="A33" s="33">
        <v>23.0</v>
      </c>
      <c r="B33" s="34"/>
      <c r="C33" s="34"/>
      <c r="D33" s="42"/>
      <c r="E33" s="42"/>
      <c r="F33" s="35"/>
      <c r="G33" s="36">
        <f t="shared" si="1"/>
        <v>0</v>
      </c>
      <c r="H33" s="36">
        <f t="shared" si="2"/>
        <v>0</v>
      </c>
      <c r="I33" s="36">
        <f t="shared" si="3"/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</row>
    <row r="34" ht="19.5" customHeight="1">
      <c r="A34" s="33">
        <v>24.0</v>
      </c>
      <c r="B34" s="34"/>
      <c r="C34" s="34"/>
      <c r="D34" s="42"/>
      <c r="E34" s="46"/>
      <c r="F34" s="35"/>
      <c r="G34" s="36">
        <f t="shared" si="1"/>
        <v>0</v>
      </c>
      <c r="H34" s="36">
        <f t="shared" si="2"/>
        <v>0</v>
      </c>
      <c r="I34" s="36">
        <f t="shared" si="3"/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</row>
    <row r="35" ht="19.5" customHeight="1">
      <c r="A35" s="33">
        <v>25.0</v>
      </c>
      <c r="B35" s="34"/>
      <c r="C35" s="34"/>
      <c r="D35" s="42"/>
      <c r="E35" s="42"/>
      <c r="F35" s="35"/>
      <c r="G35" s="36">
        <f t="shared" si="1"/>
        <v>0</v>
      </c>
      <c r="H35" s="36">
        <f t="shared" si="2"/>
        <v>0</v>
      </c>
      <c r="I35" s="36">
        <f t="shared" si="3"/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</row>
    <row r="36" ht="19.5" customHeight="1">
      <c r="A36" s="33">
        <v>26.0</v>
      </c>
      <c r="B36" s="34"/>
      <c r="C36" s="34"/>
      <c r="D36" s="42"/>
      <c r="E36" s="42"/>
      <c r="F36" s="35"/>
      <c r="G36" s="36">
        <f t="shared" si="1"/>
        <v>0</v>
      </c>
      <c r="H36" s="36">
        <f t="shared" si="2"/>
        <v>0</v>
      </c>
      <c r="I36" s="36">
        <f t="shared" si="3"/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</row>
    <row r="37" ht="19.5" customHeight="1">
      <c r="A37" s="33">
        <v>27.0</v>
      </c>
      <c r="B37" s="34"/>
      <c r="C37" s="34"/>
      <c r="D37" s="42"/>
      <c r="E37" s="42"/>
      <c r="F37" s="35"/>
      <c r="G37" s="36">
        <f t="shared" si="1"/>
        <v>0</v>
      </c>
      <c r="H37" s="36">
        <f t="shared" si="2"/>
        <v>0</v>
      </c>
      <c r="I37" s="36">
        <f t="shared" si="3"/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</row>
    <row r="38" ht="19.5" customHeight="1">
      <c r="A38" s="33">
        <v>28.0</v>
      </c>
      <c r="B38" s="34"/>
      <c r="C38" s="34"/>
      <c r="D38" s="42"/>
      <c r="E38" s="42"/>
      <c r="F38" s="35"/>
      <c r="G38" s="36">
        <f t="shared" si="1"/>
        <v>0</v>
      </c>
      <c r="H38" s="36">
        <f t="shared" si="2"/>
        <v>0</v>
      </c>
      <c r="I38" s="36">
        <f t="shared" si="3"/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</row>
    <row r="39" ht="19.5" customHeight="1">
      <c r="A39" s="33">
        <v>29.0</v>
      </c>
      <c r="B39" s="34"/>
      <c r="C39" s="34"/>
      <c r="D39" s="42"/>
      <c r="E39" s="42"/>
      <c r="F39" s="35"/>
      <c r="G39" s="36">
        <f t="shared" si="1"/>
        <v>0</v>
      </c>
      <c r="H39" s="36">
        <f t="shared" si="2"/>
        <v>0</v>
      </c>
      <c r="I39" s="36">
        <f t="shared" si="3"/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</row>
    <row r="40" ht="19.5" customHeight="1">
      <c r="A40" s="33">
        <v>30.0</v>
      </c>
      <c r="B40" s="34"/>
      <c r="C40" s="34"/>
      <c r="D40" s="42"/>
      <c r="E40" s="42"/>
      <c r="F40" s="35"/>
      <c r="G40" s="36">
        <f t="shared" si="1"/>
        <v>0</v>
      </c>
      <c r="H40" s="36">
        <f t="shared" si="2"/>
        <v>0</v>
      </c>
      <c r="I40" s="36">
        <f t="shared" si="3"/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</row>
    <row r="41" ht="19.5" customHeight="1">
      <c r="A41" s="33">
        <v>31.0</v>
      </c>
      <c r="B41" s="34"/>
      <c r="C41" s="34"/>
      <c r="D41" s="42"/>
      <c r="E41" s="42"/>
      <c r="F41" s="35"/>
      <c r="G41" s="36">
        <f t="shared" si="1"/>
        <v>0</v>
      </c>
      <c r="H41" s="36">
        <f t="shared" si="2"/>
        <v>0</v>
      </c>
      <c r="I41" s="36">
        <f t="shared" si="3"/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</row>
    <row r="42" ht="21.0" customHeight="1">
      <c r="A42" s="47" t="s">
        <v>27</v>
      </c>
      <c r="B42" s="48">
        <f t="shared" ref="B42:I42" si="4">+SUM(B11:B41)</f>
        <v>0</v>
      </c>
      <c r="C42" s="48">
        <f t="shared" si="4"/>
        <v>1</v>
      </c>
      <c r="D42" s="48">
        <f t="shared" si="4"/>
        <v>0</v>
      </c>
      <c r="E42" s="48">
        <f t="shared" si="4"/>
        <v>2</v>
      </c>
      <c r="F42" s="48">
        <f t="shared" si="4"/>
        <v>0</v>
      </c>
      <c r="G42" s="47">
        <f t="shared" si="4"/>
        <v>1</v>
      </c>
      <c r="H42" s="47">
        <f t="shared" si="4"/>
        <v>2</v>
      </c>
      <c r="I42" s="47">
        <f t="shared" si="4"/>
        <v>3</v>
      </c>
      <c r="J42" s="49"/>
      <c r="K42" s="49"/>
      <c r="L42" s="49"/>
      <c r="M42" s="49"/>
      <c r="N42" s="49"/>
      <c r="O42" s="49"/>
      <c r="P42" s="49"/>
      <c r="Q42" s="49"/>
      <c r="R42" s="49"/>
      <c r="S42" s="49"/>
    </row>
    <row r="43" ht="9.0" hidden="1" customHeight="1">
      <c r="A43" s="50" t="s">
        <v>28</v>
      </c>
      <c r="B43" s="51">
        <f>(B42/A41)</f>
        <v>0</v>
      </c>
      <c r="C43" s="51">
        <f>(C42/A41)</f>
        <v>0.03225806452</v>
      </c>
      <c r="D43" s="51">
        <f>D42/A41</f>
        <v>0</v>
      </c>
      <c r="E43" s="51">
        <f t="shared" ref="E43:F43" si="5">(E42/31)</f>
        <v>0.06451612903</v>
      </c>
      <c r="F43" s="51">
        <f t="shared" si="5"/>
        <v>0</v>
      </c>
      <c r="G43" s="52">
        <f>+SUM(B43:D43)</f>
        <v>0.03225806452</v>
      </c>
      <c r="H43" s="52">
        <f>+SUM(E43:F43)</f>
        <v>0.06451612903</v>
      </c>
      <c r="I43" s="52">
        <f>+G43+H43</f>
        <v>0.09677419355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9.0" hidden="1" customHeight="1">
      <c r="A44" s="53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9.0" hidden="1" customHeight="1">
      <c r="A45" s="54" t="s">
        <v>29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9.0" hidden="1" customHeight="1"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9.0" hidden="1" customHeight="1"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9.0" hidden="1" customHeight="1"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9.0" hidden="1" customHeight="1">
      <c r="A49" s="53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2.0" hidden="1" customHeight="1">
      <c r="A50" s="55"/>
      <c r="B50" s="56" t="s">
        <v>30</v>
      </c>
      <c r="C50" s="57"/>
      <c r="D50" s="57"/>
      <c r="E50" s="57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2.0" hidden="1" customHeight="1">
      <c r="A51" s="58"/>
      <c r="B51" s="59" t="s">
        <v>31</v>
      </c>
      <c r="C51" s="59"/>
      <c r="D51" s="59"/>
      <c r="E51" s="5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2.0" hidden="1" customHeight="1">
      <c r="A52" s="60"/>
      <c r="B52" s="59" t="s">
        <v>32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2.0" hidden="1" customHeight="1">
      <c r="A53" s="61"/>
      <c r="B53" s="59" t="s">
        <v>33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2.75" hidden="1" customHeight="1">
      <c r="A54" s="62"/>
      <c r="B54" s="63" t="s">
        <v>34</v>
      </c>
      <c r="C54" s="64"/>
      <c r="D54" s="64"/>
      <c r="E54" s="64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9.0" hidden="1" customHeight="1">
      <c r="A55" s="5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24.0" customHeight="1">
      <c r="A56" s="65" t="s">
        <v>35</v>
      </c>
      <c r="B56" s="66">
        <f>(B42/I42)</f>
        <v>0</v>
      </c>
      <c r="C56" s="66">
        <f>(C42/I42)</f>
        <v>0.3333333333</v>
      </c>
      <c r="D56" s="65"/>
      <c r="E56" s="66">
        <f>(E42/I42)</f>
        <v>0.6666666667</v>
      </c>
      <c r="F56" s="65"/>
      <c r="G56" s="65"/>
      <c r="H56" s="65"/>
      <c r="I56" s="65"/>
      <c r="J56" s="67"/>
      <c r="K56" s="67"/>
      <c r="L56" s="67"/>
      <c r="M56" s="67"/>
      <c r="N56" s="67"/>
      <c r="O56" s="67"/>
      <c r="P56" s="67"/>
      <c r="Q56" s="67"/>
      <c r="R56" s="67"/>
      <c r="S56" s="67"/>
    </row>
    <row r="57" ht="27.0" customHeight="1">
      <c r="A57" s="68" t="s">
        <v>36</v>
      </c>
      <c r="B57" s="69" t="s">
        <v>37</v>
      </c>
      <c r="C57" s="69" t="s">
        <v>38</v>
      </c>
      <c r="D57" s="68"/>
      <c r="E57" s="69" t="s">
        <v>39</v>
      </c>
      <c r="F57" s="68"/>
      <c r="G57" s="68"/>
      <c r="H57" s="68"/>
      <c r="I57" s="68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9.0" customHeight="1">
      <c r="A58" s="5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9.0" customHeight="1">
      <c r="A59" s="53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9.0" customHeight="1">
      <c r="A60" s="53"/>
      <c r="B60" s="9"/>
      <c r="C60" s="9"/>
      <c r="D60" s="9"/>
      <c r="E60" s="70"/>
      <c r="F60" s="2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9.0" customHeight="1">
      <c r="A61" s="53"/>
      <c r="B61" s="9"/>
      <c r="C61" s="9"/>
      <c r="D61" s="9"/>
      <c r="E61" s="20"/>
      <c r="F61" s="20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9.0" customHeight="1">
      <c r="A62" s="53"/>
      <c r="B62" s="9"/>
      <c r="C62" s="9"/>
      <c r="D62" s="9"/>
      <c r="E62" s="20"/>
      <c r="F62" s="20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9.0" customHeight="1">
      <c r="A63" s="53"/>
      <c r="B63" s="9"/>
      <c r="C63" s="9"/>
      <c r="D63" s="9"/>
      <c r="E63" s="20"/>
      <c r="F63" s="20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9.0" customHeight="1">
      <c r="A64" s="5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9.0" customHeight="1">
      <c r="A65" s="5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9.0" customHeight="1">
      <c r="A66" s="53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9.0" customHeight="1">
      <c r="A67" s="5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9.0" customHeight="1">
      <c r="A68" s="5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9.0" customHeight="1">
      <c r="A69" s="5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9.0" customHeight="1">
      <c r="A70" s="5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9.0" customHeight="1">
      <c r="A71" s="53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9.0" customHeight="1">
      <c r="A72" s="53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9.0" customHeight="1">
      <c r="A73" s="53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9.0" customHeight="1">
      <c r="A74" s="53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9.0" customHeight="1">
      <c r="A75" s="53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9.0" customHeight="1">
      <c r="A76" s="5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9.0" customHeight="1">
      <c r="A77" s="5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9.0" customHeight="1">
      <c r="A78" s="53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9.0" customHeight="1">
      <c r="A79" s="53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9.0" customHeight="1">
      <c r="A80" s="53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9.0" customHeight="1">
      <c r="A81" s="5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9.0" customHeight="1">
      <c r="A82" s="5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9.0" customHeight="1">
      <c r="A83" s="5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9.0" customHeight="1">
      <c r="A84" s="53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9.0" customHeight="1">
      <c r="A85" s="53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9.0" customHeight="1">
      <c r="A86" s="53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9.0" customHeight="1">
      <c r="A87" s="5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9.0" customHeight="1">
      <c r="A88" s="5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9.0" customHeight="1">
      <c r="A89" s="5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9.0" customHeight="1">
      <c r="A90" s="5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9.0" customHeight="1">
      <c r="A91" s="5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9.0" customHeight="1">
      <c r="A92" s="5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9.0" customHeight="1">
      <c r="A93" s="5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9.0" customHeight="1">
      <c r="A94" s="5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9.0" customHeight="1">
      <c r="A95" s="5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9.0" customHeight="1">
      <c r="A96" s="5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9.0" customHeight="1">
      <c r="A97" s="5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9.0" customHeight="1">
      <c r="A98" s="5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9.0" customHeight="1">
      <c r="A99" s="5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9.0" customHeight="1">
      <c r="A100" s="5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9.0" customHeight="1">
      <c r="A101" s="5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9.0" customHeight="1">
      <c r="A102" s="5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9.0" customHeight="1">
      <c r="A103" s="5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9.0" customHeight="1">
      <c r="A104" s="5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9.0" customHeight="1">
      <c r="A105" s="5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9.0" customHeight="1">
      <c r="A106" s="5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9.0" customHeight="1">
      <c r="A107" s="5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9.0" customHeight="1">
      <c r="A108" s="5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9.0" customHeight="1">
      <c r="A109" s="5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9.0" customHeight="1">
      <c r="A110" s="5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9.0" customHeight="1">
      <c r="A111" s="5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9.0" customHeight="1">
      <c r="A112" s="5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9.0" customHeight="1">
      <c r="A113" s="5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9.0" customHeight="1">
      <c r="A114" s="5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9.0" customHeight="1">
      <c r="A115" s="5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9.0" customHeight="1">
      <c r="A116" s="5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9.0" customHeight="1">
      <c r="A117" s="5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9.0" customHeight="1">
      <c r="A118" s="5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9.0" customHeight="1">
      <c r="A119" s="5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9.0" customHeight="1">
      <c r="A120" s="5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9.0" customHeight="1">
      <c r="A121" s="5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9.0" customHeight="1">
      <c r="A122" s="5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9.0" customHeight="1">
      <c r="A123" s="5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9.0" customHeight="1">
      <c r="A124" s="5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9.0" customHeight="1">
      <c r="A125" s="5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9.0" customHeight="1">
      <c r="A126" s="5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9.0" customHeight="1">
      <c r="A127" s="5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9.0" customHeight="1">
      <c r="A128" s="5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9.0" customHeight="1">
      <c r="A129" s="5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9.0" customHeight="1">
      <c r="A130" s="5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9.0" customHeight="1">
      <c r="A131" s="5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9.0" customHeight="1">
      <c r="A132" s="5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9.0" customHeight="1">
      <c r="A133" s="5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9.0" customHeight="1">
      <c r="A134" s="5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9.0" customHeight="1">
      <c r="A135" s="5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9.0" customHeight="1">
      <c r="A136" s="5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9.0" customHeight="1">
      <c r="A137" s="5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9.0" customHeight="1">
      <c r="A138" s="5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9.0" customHeight="1">
      <c r="A139" s="5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9.0" customHeight="1">
      <c r="A140" s="5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9.0" customHeight="1">
      <c r="A141" s="5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9.0" customHeight="1">
      <c r="A142" s="5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9.0" customHeight="1">
      <c r="A143" s="5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9.0" customHeight="1">
      <c r="A144" s="5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9.0" customHeight="1">
      <c r="A145" s="5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9.0" customHeight="1">
      <c r="A146" s="5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9.0" customHeight="1">
      <c r="A147" s="5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9.0" customHeight="1">
      <c r="A148" s="5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9.0" customHeight="1">
      <c r="A149" s="5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9.0" customHeight="1">
      <c r="A150" s="5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9.0" customHeight="1">
      <c r="A151" s="5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9.0" customHeight="1">
      <c r="A152" s="5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9.0" customHeight="1">
      <c r="A153" s="5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9.0" customHeight="1">
      <c r="A154" s="5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9.0" customHeight="1">
      <c r="A155" s="5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9.0" customHeight="1">
      <c r="A156" s="5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9.0" customHeight="1">
      <c r="A157" s="5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9.0" customHeight="1">
      <c r="A158" s="5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9.0" customHeight="1">
      <c r="A159" s="5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9.0" customHeight="1">
      <c r="A160" s="5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9.0" customHeight="1">
      <c r="A161" s="5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9.0" customHeight="1">
      <c r="A162" s="5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9.0" customHeight="1">
      <c r="A163" s="5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9.0" customHeight="1">
      <c r="A164" s="5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9.0" customHeight="1">
      <c r="A165" s="5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9.0" customHeight="1">
      <c r="A166" s="5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9.0" customHeight="1">
      <c r="A167" s="5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9.0" customHeight="1">
      <c r="A168" s="5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9.0" customHeight="1">
      <c r="A169" s="5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9.0" customHeight="1">
      <c r="A170" s="5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9.0" customHeight="1">
      <c r="A171" s="5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9.0" customHeight="1">
      <c r="A172" s="5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9.0" customHeight="1">
      <c r="A173" s="5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9.0" customHeight="1">
      <c r="A174" s="5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9.0" customHeight="1">
      <c r="A175" s="5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9.0" customHeight="1">
      <c r="A176" s="5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9.0" customHeight="1">
      <c r="A177" s="5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9.0" customHeight="1">
      <c r="A178" s="5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9.0" customHeight="1">
      <c r="A179" s="5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9.0" customHeight="1">
      <c r="A180" s="5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9.0" customHeight="1">
      <c r="A181" s="5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9.0" customHeight="1">
      <c r="A182" s="5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9.0" customHeight="1">
      <c r="A183" s="5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9.0" customHeight="1">
      <c r="A184" s="5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9.0" customHeight="1">
      <c r="A185" s="5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9.0" customHeight="1">
      <c r="A186" s="5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9.0" customHeight="1">
      <c r="A187" s="5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9.0" customHeight="1">
      <c r="A188" s="5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9.0" customHeight="1">
      <c r="A189" s="5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9.0" customHeight="1">
      <c r="A190" s="5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9.0" customHeight="1">
      <c r="A191" s="5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9.0" customHeight="1">
      <c r="A192" s="5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9.0" customHeight="1">
      <c r="A193" s="5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9.0" customHeight="1">
      <c r="A194" s="5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9.0" customHeight="1">
      <c r="A195" s="5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9.0" customHeight="1">
      <c r="A196" s="5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9.0" customHeight="1">
      <c r="A197" s="5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9.0" customHeight="1">
      <c r="A198" s="5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9.0" customHeight="1">
      <c r="A199" s="5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9.0" customHeight="1">
      <c r="A200" s="5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9.0" customHeight="1">
      <c r="A201" s="5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9.0" customHeight="1">
      <c r="A202" s="5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9.0" customHeight="1">
      <c r="A203" s="5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9.0" customHeight="1">
      <c r="A204" s="5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9.0" customHeight="1">
      <c r="A205" s="5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9.0" customHeight="1">
      <c r="A206" s="5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9.0" customHeight="1">
      <c r="A207" s="5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9.0" customHeight="1">
      <c r="A208" s="5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9.0" customHeight="1">
      <c r="A209" s="5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9.0" customHeight="1">
      <c r="A210" s="5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9.0" customHeight="1">
      <c r="A211" s="5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9.0" customHeight="1">
      <c r="A212" s="5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9.0" customHeight="1">
      <c r="A213" s="5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9.0" customHeight="1">
      <c r="A214" s="5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9.0" customHeight="1">
      <c r="A215" s="5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9.0" customHeight="1">
      <c r="A216" s="5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9.0" customHeight="1">
      <c r="A217" s="5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9.0" customHeight="1">
      <c r="A218" s="5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9.0" customHeight="1">
      <c r="A219" s="5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9.0" customHeight="1">
      <c r="A220" s="5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9.0" customHeight="1">
      <c r="A221" s="5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9.0" customHeight="1">
      <c r="A222" s="5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9.0" customHeight="1">
      <c r="A223" s="5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9.0" customHeight="1">
      <c r="A224" s="5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9.0" customHeight="1">
      <c r="A225" s="5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9.0" customHeight="1">
      <c r="A226" s="5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9.0" customHeight="1">
      <c r="A227" s="5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9.0" customHeight="1">
      <c r="A228" s="5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9.0" customHeight="1">
      <c r="A229" s="5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9.0" customHeight="1">
      <c r="A230" s="5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9.0" customHeight="1">
      <c r="A231" s="5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9.0" customHeight="1">
      <c r="A232" s="5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9.0" customHeight="1">
      <c r="A233" s="5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9.0" customHeight="1">
      <c r="A234" s="5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9.0" customHeight="1">
      <c r="A235" s="5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9.0" customHeight="1">
      <c r="A236" s="5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9.0" customHeight="1">
      <c r="A237" s="5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9.0" customHeight="1">
      <c r="A238" s="5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9.0" customHeight="1">
      <c r="A239" s="5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9.0" customHeight="1">
      <c r="A240" s="5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9.0" customHeight="1">
      <c r="A241" s="5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9.0" customHeight="1">
      <c r="A242" s="5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9.0" customHeight="1">
      <c r="A243" s="5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9.0" customHeight="1">
      <c r="A244" s="5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9.0" customHeight="1">
      <c r="A245" s="5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9.0" customHeight="1">
      <c r="A246" s="5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9.0" customHeight="1">
      <c r="A247" s="5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9.0" customHeight="1">
      <c r="A248" s="5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9.0" customHeight="1">
      <c r="A249" s="5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9.0" customHeight="1">
      <c r="A250" s="5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9.0" customHeight="1">
      <c r="A251" s="5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9.0" customHeight="1">
      <c r="A252" s="5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9.0" customHeight="1">
      <c r="A253" s="5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9.0" customHeight="1">
      <c r="A254" s="5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9.0" customHeight="1">
      <c r="A255" s="5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9.0" customHeight="1">
      <c r="A256" s="5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9.0" customHeight="1">
      <c r="A257" s="5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9.0" customHeight="1">
      <c r="A258" s="5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9.0" customHeight="1">
      <c r="A259" s="5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9.0" customHeight="1">
      <c r="A260" s="5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9.0" customHeight="1">
      <c r="A261" s="5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9.0" customHeight="1">
      <c r="A262" s="5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9.0" customHeight="1">
      <c r="A263" s="5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9.0" customHeight="1">
      <c r="A264" s="5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9.0" customHeight="1">
      <c r="A265" s="5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9.0" customHeight="1">
      <c r="A266" s="5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9.0" customHeight="1">
      <c r="A267" s="5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9.0" customHeight="1">
      <c r="A268" s="5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9.0" customHeight="1">
      <c r="A269" s="5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9.0" customHeight="1">
      <c r="A270" s="5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9.0" customHeight="1">
      <c r="A271" s="5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9.0" customHeight="1">
      <c r="A272" s="5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9.0" customHeight="1">
      <c r="A273" s="5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9.0" customHeight="1">
      <c r="A274" s="5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9.0" customHeight="1">
      <c r="A275" s="5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9.0" customHeight="1">
      <c r="A276" s="5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9.0" customHeight="1">
      <c r="A277" s="5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9.0" customHeight="1">
      <c r="A278" s="5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9.0" customHeight="1">
      <c r="A279" s="5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9.0" customHeight="1">
      <c r="A280" s="5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9.0" customHeight="1">
      <c r="A281" s="5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9.0" customHeight="1">
      <c r="A282" s="5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9.0" customHeight="1">
      <c r="A283" s="5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9.0" customHeight="1">
      <c r="A284" s="5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9.0" customHeight="1">
      <c r="A285" s="5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9.0" customHeight="1">
      <c r="A286" s="5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9.0" customHeight="1">
      <c r="A287" s="5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9.0" customHeight="1">
      <c r="A288" s="5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9.0" customHeight="1">
      <c r="A289" s="5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9.0" customHeight="1">
      <c r="A290" s="5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9.0" customHeight="1">
      <c r="A291" s="5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9.0" customHeight="1">
      <c r="A292" s="5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9.0" customHeight="1">
      <c r="A293" s="5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9.0" customHeight="1">
      <c r="A294" s="5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9.0" customHeight="1">
      <c r="A295" s="5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9.0" customHeight="1">
      <c r="A296" s="5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9.0" customHeight="1">
      <c r="A297" s="5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9.0" customHeight="1">
      <c r="A298" s="5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9.0" customHeight="1">
      <c r="A299" s="5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9.0" customHeight="1">
      <c r="A300" s="5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9.0" customHeight="1">
      <c r="A301" s="5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9.0" customHeight="1">
      <c r="A302" s="5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9.0" customHeight="1">
      <c r="A303" s="5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9.0" customHeight="1">
      <c r="A304" s="5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9.0" customHeight="1">
      <c r="A305" s="5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9.0" customHeight="1">
      <c r="A306" s="5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9.0" customHeight="1">
      <c r="A307" s="5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9.0" customHeight="1">
      <c r="A308" s="5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9.0" customHeight="1">
      <c r="A309" s="5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9.0" customHeight="1">
      <c r="A310" s="5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9.0" customHeight="1">
      <c r="A311" s="5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9.0" customHeight="1">
      <c r="A312" s="5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9.0" customHeight="1">
      <c r="A313" s="5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9.0" customHeight="1">
      <c r="A314" s="5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9.0" customHeight="1">
      <c r="A315" s="5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9.0" customHeight="1">
      <c r="A316" s="5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9.0" customHeight="1">
      <c r="A317" s="5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9.0" customHeight="1">
      <c r="A318" s="5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9.0" customHeight="1">
      <c r="A319" s="5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9.0" customHeight="1">
      <c r="A320" s="5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9.0" customHeight="1">
      <c r="A321" s="5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9.0" customHeight="1">
      <c r="A322" s="5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9.0" customHeight="1">
      <c r="A323" s="5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9.0" customHeight="1">
      <c r="A324" s="5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9.0" customHeight="1">
      <c r="A325" s="5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9.0" customHeight="1">
      <c r="A326" s="5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9.0" customHeight="1">
      <c r="A327" s="5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9.0" customHeight="1">
      <c r="A328" s="5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9.0" customHeight="1">
      <c r="A329" s="5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9.0" customHeight="1">
      <c r="A330" s="5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9.0" customHeight="1">
      <c r="A331" s="5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9.0" customHeight="1">
      <c r="A332" s="5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9.0" customHeight="1">
      <c r="A333" s="5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9.0" customHeight="1">
      <c r="A334" s="5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9.0" customHeight="1">
      <c r="A335" s="5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9.0" customHeight="1">
      <c r="A336" s="5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9.0" customHeight="1">
      <c r="A337" s="5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9.0" customHeight="1">
      <c r="A338" s="5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9.0" customHeight="1">
      <c r="A339" s="5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9.0" customHeight="1">
      <c r="A340" s="5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9.0" customHeight="1">
      <c r="A341" s="5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9.0" customHeight="1">
      <c r="A342" s="5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9.0" customHeight="1">
      <c r="A343" s="5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9.0" customHeight="1">
      <c r="A344" s="5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9.0" customHeight="1">
      <c r="A345" s="5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9.0" customHeight="1">
      <c r="A346" s="5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9.0" customHeight="1">
      <c r="A347" s="5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9.0" customHeight="1">
      <c r="A348" s="5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9.0" customHeight="1">
      <c r="A349" s="5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9.0" customHeight="1">
      <c r="A350" s="5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9.0" customHeight="1">
      <c r="A351" s="5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9.0" customHeight="1">
      <c r="A352" s="5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9.0" customHeight="1">
      <c r="A353" s="5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9.0" customHeight="1">
      <c r="A354" s="5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9.0" customHeight="1">
      <c r="A355" s="5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9.0" customHeight="1">
      <c r="A356" s="5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9.0" customHeight="1">
      <c r="A357" s="5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9.0" customHeight="1">
      <c r="A358" s="5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9.0" customHeight="1">
      <c r="A359" s="5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9.0" customHeight="1">
      <c r="A360" s="5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9.0" customHeight="1">
      <c r="A361" s="5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9.0" customHeight="1">
      <c r="A362" s="5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9.0" customHeight="1">
      <c r="A363" s="5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9.0" customHeight="1">
      <c r="A364" s="5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9.0" customHeight="1">
      <c r="A365" s="5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9.0" customHeight="1">
      <c r="A366" s="5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9.0" customHeight="1">
      <c r="A367" s="5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9.0" customHeight="1">
      <c r="A368" s="5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9.0" customHeight="1">
      <c r="A369" s="5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9.0" customHeight="1">
      <c r="A370" s="5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9.0" customHeight="1">
      <c r="A371" s="5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9.0" customHeight="1">
      <c r="A372" s="5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9.0" customHeight="1">
      <c r="A373" s="5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9.0" customHeight="1">
      <c r="A374" s="5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9.0" customHeight="1">
      <c r="A375" s="5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9.0" customHeight="1">
      <c r="A376" s="5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9.0" customHeight="1">
      <c r="A377" s="5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9.0" customHeight="1">
      <c r="A378" s="5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9.0" customHeight="1">
      <c r="A379" s="5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9.0" customHeight="1">
      <c r="A380" s="5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9.0" customHeight="1">
      <c r="A381" s="5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9.0" customHeight="1">
      <c r="A382" s="5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9.0" customHeight="1">
      <c r="A383" s="5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9.0" customHeight="1">
      <c r="A384" s="5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9.0" customHeight="1">
      <c r="A385" s="5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9.0" customHeight="1">
      <c r="A386" s="5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9.0" customHeight="1">
      <c r="A387" s="5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9.0" customHeight="1">
      <c r="A388" s="5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9.0" customHeight="1">
      <c r="A389" s="5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9.0" customHeight="1">
      <c r="A390" s="5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9.0" customHeight="1">
      <c r="A391" s="5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9.0" customHeight="1">
      <c r="A392" s="5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9.0" customHeight="1">
      <c r="A393" s="5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9.0" customHeight="1">
      <c r="A394" s="5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9.0" customHeight="1">
      <c r="A395" s="5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9.0" customHeight="1">
      <c r="A396" s="5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9.0" customHeight="1">
      <c r="A397" s="5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9.0" customHeight="1">
      <c r="A398" s="5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9.0" customHeight="1">
      <c r="A399" s="5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9.0" customHeight="1">
      <c r="A400" s="5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9.0" customHeight="1">
      <c r="A401" s="5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9.0" customHeight="1">
      <c r="A402" s="5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9.0" customHeight="1">
      <c r="A403" s="5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9.0" customHeight="1">
      <c r="A404" s="5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9.0" customHeight="1">
      <c r="A405" s="5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9.0" customHeight="1">
      <c r="A406" s="5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9.0" customHeight="1">
      <c r="A407" s="5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9.0" customHeight="1">
      <c r="A408" s="5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9.0" customHeight="1">
      <c r="A409" s="5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9.0" customHeight="1">
      <c r="A410" s="5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9.0" customHeight="1">
      <c r="A411" s="5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9.0" customHeight="1">
      <c r="A412" s="5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9.0" customHeight="1">
      <c r="A413" s="5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9.0" customHeight="1">
      <c r="A414" s="5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9.0" customHeight="1">
      <c r="A415" s="5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9.0" customHeight="1">
      <c r="A416" s="5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9.0" customHeight="1">
      <c r="A417" s="5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9.0" customHeight="1">
      <c r="A418" s="5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9.0" customHeight="1">
      <c r="A419" s="5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9.0" customHeight="1">
      <c r="A420" s="5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9.0" customHeight="1">
      <c r="A421" s="5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9.0" customHeight="1">
      <c r="A422" s="5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9.0" customHeight="1">
      <c r="A423" s="5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9.0" customHeight="1">
      <c r="A424" s="5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9.0" customHeight="1">
      <c r="A425" s="5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9.0" customHeight="1">
      <c r="A426" s="5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9.0" customHeight="1">
      <c r="A427" s="5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9.0" customHeight="1">
      <c r="A428" s="5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9.0" customHeight="1">
      <c r="A429" s="5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9.0" customHeight="1">
      <c r="A430" s="5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9.0" customHeight="1">
      <c r="A431" s="5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9.0" customHeight="1">
      <c r="A432" s="5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9.0" customHeight="1">
      <c r="A433" s="5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9.0" customHeight="1">
      <c r="A434" s="5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9.0" customHeight="1">
      <c r="A435" s="5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9.0" customHeight="1">
      <c r="A436" s="5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9.0" customHeight="1">
      <c r="A437" s="5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9.0" customHeight="1">
      <c r="A438" s="5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9.0" customHeight="1">
      <c r="A439" s="5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9.0" customHeight="1">
      <c r="A440" s="5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9.0" customHeight="1">
      <c r="A441" s="5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9.0" customHeight="1">
      <c r="A442" s="5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9.0" customHeight="1">
      <c r="A443" s="5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9.0" customHeight="1">
      <c r="A444" s="5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9.0" customHeight="1">
      <c r="A445" s="5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9.0" customHeight="1">
      <c r="A446" s="5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9.0" customHeight="1">
      <c r="A447" s="5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9.0" customHeight="1">
      <c r="A448" s="5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9.0" customHeight="1">
      <c r="A449" s="5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9.0" customHeight="1">
      <c r="A450" s="5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9.0" customHeight="1">
      <c r="A451" s="5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9.0" customHeight="1">
      <c r="A452" s="5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9.0" customHeight="1">
      <c r="A453" s="5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9.0" customHeight="1">
      <c r="A454" s="5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9.0" customHeight="1">
      <c r="A455" s="5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9.0" customHeight="1">
      <c r="A456" s="5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9.0" customHeight="1">
      <c r="A457" s="5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9.0" customHeight="1">
      <c r="A458" s="5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9.0" customHeight="1">
      <c r="A459" s="5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9.0" customHeight="1">
      <c r="A460" s="5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9.0" customHeight="1">
      <c r="A461" s="5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9.0" customHeight="1">
      <c r="A462" s="5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9.0" customHeight="1">
      <c r="A463" s="5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9.0" customHeight="1">
      <c r="A464" s="5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9.0" customHeight="1">
      <c r="A465" s="5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9.0" customHeight="1">
      <c r="A466" s="5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9.0" customHeight="1">
      <c r="A467" s="5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9.0" customHeight="1">
      <c r="A468" s="5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9.0" customHeight="1">
      <c r="A469" s="5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9.0" customHeight="1">
      <c r="A470" s="5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9.0" customHeight="1">
      <c r="A471" s="5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9.0" customHeight="1">
      <c r="A472" s="5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9.0" customHeight="1">
      <c r="A473" s="5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9.0" customHeight="1">
      <c r="A474" s="5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9.0" customHeight="1">
      <c r="A475" s="5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9.0" customHeight="1">
      <c r="A476" s="5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9.0" customHeight="1">
      <c r="A477" s="5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9.0" customHeight="1">
      <c r="A478" s="5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9.0" customHeight="1">
      <c r="A479" s="5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9.0" customHeight="1">
      <c r="A480" s="5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9.0" customHeight="1">
      <c r="A481" s="5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9.0" customHeight="1">
      <c r="A482" s="5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9.0" customHeight="1">
      <c r="A483" s="5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9.0" customHeight="1">
      <c r="A484" s="5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9.0" customHeight="1">
      <c r="A485" s="5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9.0" customHeight="1">
      <c r="A486" s="5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9.0" customHeight="1">
      <c r="A487" s="5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9.0" customHeight="1">
      <c r="A488" s="5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9.0" customHeight="1">
      <c r="A489" s="5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9.0" customHeight="1">
      <c r="A490" s="5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9.0" customHeight="1">
      <c r="A491" s="5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9.0" customHeight="1">
      <c r="A492" s="5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9.0" customHeight="1">
      <c r="A493" s="5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9.0" customHeight="1">
      <c r="A494" s="5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9.0" customHeight="1">
      <c r="A495" s="5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9.0" customHeight="1">
      <c r="A496" s="5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9.0" customHeight="1">
      <c r="A497" s="5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9.0" customHeight="1">
      <c r="A498" s="5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9.0" customHeight="1">
      <c r="A499" s="5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9.0" customHeight="1">
      <c r="A500" s="5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9.0" customHeight="1">
      <c r="A501" s="5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9.0" customHeight="1">
      <c r="A502" s="5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9.0" customHeight="1">
      <c r="A503" s="5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9.0" customHeight="1">
      <c r="A504" s="5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9.0" customHeight="1">
      <c r="A505" s="5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9.0" customHeight="1">
      <c r="A506" s="5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9.0" customHeight="1">
      <c r="A507" s="5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9.0" customHeight="1">
      <c r="A508" s="5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9.0" customHeight="1">
      <c r="A509" s="5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9.0" customHeight="1">
      <c r="A510" s="5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9.0" customHeight="1">
      <c r="A511" s="5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9.0" customHeight="1">
      <c r="A512" s="5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9.0" customHeight="1">
      <c r="A513" s="5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9.0" customHeight="1">
      <c r="A514" s="5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9.0" customHeight="1">
      <c r="A515" s="5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9.0" customHeight="1">
      <c r="A516" s="5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9.0" customHeight="1">
      <c r="A517" s="5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9.0" customHeight="1">
      <c r="A518" s="5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9.0" customHeight="1">
      <c r="A519" s="5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9.0" customHeight="1">
      <c r="A520" s="5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9.0" customHeight="1">
      <c r="A521" s="5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9.0" customHeight="1">
      <c r="A522" s="5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9.0" customHeight="1">
      <c r="A523" s="5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9.0" customHeight="1">
      <c r="A524" s="5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9.0" customHeight="1">
      <c r="A525" s="5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9.0" customHeight="1">
      <c r="A526" s="5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9.0" customHeight="1">
      <c r="A527" s="5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9.0" customHeight="1">
      <c r="A528" s="5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9.0" customHeight="1">
      <c r="A529" s="5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9.0" customHeight="1">
      <c r="A530" s="5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9.0" customHeight="1">
      <c r="A531" s="5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9.0" customHeight="1">
      <c r="A532" s="5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9.0" customHeight="1">
      <c r="A533" s="5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9.0" customHeight="1">
      <c r="A534" s="5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9.0" customHeight="1">
      <c r="A535" s="5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9.0" customHeight="1">
      <c r="A536" s="5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9.0" customHeight="1">
      <c r="A537" s="5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9.0" customHeight="1">
      <c r="A538" s="5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9.0" customHeight="1">
      <c r="A539" s="5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9.0" customHeight="1">
      <c r="A540" s="5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9.0" customHeight="1">
      <c r="A541" s="5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9.0" customHeight="1">
      <c r="A542" s="5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9.0" customHeight="1">
      <c r="A543" s="5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9.0" customHeight="1">
      <c r="A544" s="5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9.0" customHeight="1">
      <c r="A545" s="5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9.0" customHeight="1">
      <c r="A546" s="5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9.0" customHeight="1">
      <c r="A547" s="5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9.0" customHeight="1">
      <c r="A548" s="5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9.0" customHeight="1">
      <c r="A549" s="5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9.0" customHeight="1">
      <c r="A550" s="5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9.0" customHeight="1">
      <c r="A551" s="5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9.0" customHeight="1">
      <c r="A552" s="5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9.0" customHeight="1">
      <c r="A553" s="5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9.0" customHeight="1">
      <c r="A554" s="5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9.0" customHeight="1">
      <c r="A555" s="5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9.0" customHeight="1">
      <c r="A556" s="5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9.0" customHeight="1">
      <c r="A557" s="5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9.0" customHeight="1">
      <c r="A558" s="5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9.0" customHeight="1">
      <c r="A559" s="5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9.0" customHeight="1">
      <c r="A560" s="5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9.0" customHeight="1">
      <c r="A561" s="5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9.0" customHeight="1">
      <c r="A562" s="5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9.0" customHeight="1">
      <c r="A563" s="5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9.0" customHeight="1">
      <c r="A564" s="5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9.0" customHeight="1">
      <c r="A565" s="5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9.0" customHeight="1">
      <c r="A566" s="5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9.0" customHeight="1">
      <c r="A567" s="5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9.0" customHeight="1">
      <c r="A568" s="5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9.0" customHeight="1">
      <c r="A569" s="5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9.0" customHeight="1">
      <c r="A570" s="5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9.0" customHeight="1">
      <c r="A571" s="5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9.0" customHeight="1">
      <c r="A572" s="5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9.0" customHeight="1">
      <c r="A573" s="5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9.0" customHeight="1">
      <c r="A574" s="5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9.0" customHeight="1">
      <c r="A575" s="5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9.0" customHeight="1">
      <c r="A576" s="5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9.0" customHeight="1">
      <c r="A577" s="5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9.0" customHeight="1">
      <c r="A578" s="5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9.0" customHeight="1">
      <c r="A579" s="5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9.0" customHeight="1">
      <c r="A580" s="5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9.0" customHeight="1">
      <c r="A581" s="5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9.0" customHeight="1">
      <c r="A582" s="5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9.0" customHeight="1">
      <c r="A583" s="5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9.0" customHeight="1">
      <c r="A584" s="5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9.0" customHeight="1">
      <c r="A585" s="5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9.0" customHeight="1">
      <c r="A586" s="5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9.0" customHeight="1">
      <c r="A587" s="5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9.0" customHeight="1">
      <c r="A588" s="5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9.0" customHeight="1">
      <c r="A589" s="5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9.0" customHeight="1">
      <c r="A590" s="5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9.0" customHeight="1">
      <c r="A591" s="5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9.0" customHeight="1">
      <c r="A592" s="5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9.0" customHeight="1">
      <c r="A593" s="5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9.0" customHeight="1">
      <c r="A594" s="5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9.0" customHeight="1">
      <c r="A595" s="5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9.0" customHeight="1">
      <c r="A596" s="5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9.0" customHeight="1">
      <c r="A597" s="5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9.0" customHeight="1">
      <c r="A598" s="5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9.0" customHeight="1">
      <c r="A599" s="5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9.0" customHeight="1">
      <c r="A600" s="5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9.0" customHeight="1">
      <c r="A601" s="5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9.0" customHeight="1">
      <c r="A602" s="5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9.0" customHeight="1">
      <c r="A603" s="5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9.0" customHeight="1">
      <c r="A604" s="5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9.0" customHeight="1">
      <c r="A605" s="5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9.0" customHeight="1">
      <c r="A606" s="5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9.0" customHeight="1">
      <c r="A607" s="5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9.0" customHeight="1">
      <c r="A608" s="5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9.0" customHeight="1">
      <c r="A609" s="5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9.0" customHeight="1">
      <c r="A610" s="5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9.0" customHeight="1">
      <c r="A611" s="5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9.0" customHeight="1">
      <c r="A612" s="5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9.0" customHeight="1">
      <c r="A613" s="5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9.0" customHeight="1">
      <c r="A614" s="5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9.0" customHeight="1">
      <c r="A615" s="5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9.0" customHeight="1">
      <c r="A616" s="5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9.0" customHeight="1">
      <c r="A617" s="5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9.0" customHeight="1">
      <c r="A618" s="5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9.0" customHeight="1">
      <c r="A619" s="5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9.0" customHeight="1">
      <c r="A620" s="5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9.0" customHeight="1">
      <c r="A621" s="5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9.0" customHeight="1">
      <c r="A622" s="5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9.0" customHeight="1">
      <c r="A623" s="5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9.0" customHeight="1">
      <c r="A624" s="5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9.0" customHeight="1">
      <c r="A625" s="5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9.0" customHeight="1">
      <c r="A626" s="5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9.0" customHeight="1">
      <c r="A627" s="5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9.0" customHeight="1">
      <c r="A628" s="5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9.0" customHeight="1">
      <c r="A629" s="5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9.0" customHeight="1">
      <c r="A630" s="5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9.0" customHeight="1">
      <c r="A631" s="5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9.0" customHeight="1">
      <c r="A632" s="5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9.0" customHeight="1">
      <c r="A633" s="5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9.0" customHeight="1">
      <c r="A634" s="5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9.0" customHeight="1">
      <c r="A635" s="5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9.0" customHeight="1">
      <c r="A636" s="5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9.0" customHeight="1">
      <c r="A637" s="5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9.0" customHeight="1">
      <c r="A638" s="5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9.0" customHeight="1">
      <c r="A639" s="5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9.0" customHeight="1">
      <c r="A640" s="5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9.0" customHeight="1">
      <c r="A641" s="5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9.0" customHeight="1">
      <c r="A642" s="5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9.0" customHeight="1">
      <c r="A643" s="5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9.0" customHeight="1">
      <c r="A644" s="5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9.0" customHeight="1">
      <c r="A645" s="5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9.0" customHeight="1">
      <c r="A646" s="5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9.0" customHeight="1">
      <c r="A647" s="5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9.0" customHeight="1">
      <c r="A648" s="5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9.0" customHeight="1">
      <c r="A649" s="5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9.0" customHeight="1">
      <c r="A650" s="5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9.0" customHeight="1">
      <c r="A651" s="5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9.0" customHeight="1">
      <c r="A652" s="5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9.0" customHeight="1">
      <c r="A653" s="5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9.0" customHeight="1">
      <c r="A654" s="5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9.0" customHeight="1">
      <c r="A655" s="5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9.0" customHeight="1">
      <c r="A656" s="5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9.0" customHeight="1">
      <c r="A657" s="5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9.0" customHeight="1">
      <c r="A658" s="5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9.0" customHeight="1">
      <c r="A659" s="5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9.0" customHeight="1">
      <c r="A660" s="5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9.0" customHeight="1">
      <c r="A661" s="5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9.0" customHeight="1">
      <c r="A662" s="5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9.0" customHeight="1">
      <c r="A663" s="5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9.0" customHeight="1">
      <c r="A664" s="5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9.0" customHeight="1">
      <c r="A665" s="5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9.0" customHeight="1">
      <c r="A666" s="5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9.0" customHeight="1">
      <c r="A667" s="5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9.0" customHeight="1">
      <c r="A668" s="5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9.0" customHeight="1">
      <c r="A669" s="5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9.0" customHeight="1">
      <c r="A670" s="5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9.0" customHeight="1">
      <c r="A671" s="5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9.0" customHeight="1">
      <c r="A672" s="5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9.0" customHeight="1">
      <c r="A673" s="5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9.0" customHeight="1">
      <c r="A674" s="5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9.0" customHeight="1">
      <c r="A675" s="5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9.0" customHeight="1">
      <c r="A676" s="5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9.0" customHeight="1">
      <c r="A677" s="5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9.0" customHeight="1">
      <c r="A678" s="5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9.0" customHeight="1">
      <c r="A679" s="5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9.0" customHeight="1">
      <c r="A680" s="5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9.0" customHeight="1">
      <c r="A681" s="5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9.0" customHeight="1">
      <c r="A682" s="5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9.0" customHeight="1">
      <c r="A683" s="5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9.0" customHeight="1">
      <c r="A684" s="5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9.0" customHeight="1">
      <c r="A685" s="5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9.0" customHeight="1">
      <c r="A686" s="5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9.0" customHeight="1">
      <c r="A687" s="5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9.0" customHeight="1">
      <c r="A688" s="5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9.0" customHeight="1">
      <c r="A689" s="5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9.0" customHeight="1">
      <c r="A690" s="5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9.0" customHeight="1">
      <c r="A691" s="5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9.0" customHeight="1">
      <c r="A692" s="5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9.0" customHeight="1">
      <c r="A693" s="5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9.0" customHeight="1">
      <c r="A694" s="5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9.0" customHeight="1">
      <c r="A695" s="5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9.0" customHeight="1">
      <c r="A696" s="5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9.0" customHeight="1">
      <c r="A697" s="5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9.0" customHeight="1">
      <c r="A698" s="5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9.0" customHeight="1">
      <c r="A699" s="5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9.0" customHeight="1">
      <c r="A700" s="5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9.0" customHeight="1">
      <c r="A701" s="5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9.0" customHeight="1">
      <c r="A702" s="5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9.0" customHeight="1">
      <c r="A703" s="5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9.0" customHeight="1">
      <c r="A704" s="5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9.0" customHeight="1">
      <c r="A705" s="5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9.0" customHeight="1">
      <c r="A706" s="5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9.0" customHeight="1">
      <c r="A707" s="5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9.0" customHeight="1">
      <c r="A708" s="5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9.0" customHeight="1">
      <c r="A709" s="5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9.0" customHeight="1">
      <c r="A710" s="5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9.0" customHeight="1">
      <c r="A711" s="5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9.0" customHeight="1">
      <c r="A712" s="5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9.0" customHeight="1">
      <c r="A713" s="5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9.0" customHeight="1">
      <c r="A714" s="5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9.0" customHeight="1">
      <c r="A715" s="5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9.0" customHeight="1">
      <c r="A716" s="5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9.0" customHeight="1">
      <c r="A717" s="5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9.0" customHeight="1">
      <c r="A718" s="5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9.0" customHeight="1">
      <c r="A719" s="5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9.0" customHeight="1">
      <c r="A720" s="5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9.0" customHeight="1">
      <c r="A721" s="5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9.0" customHeight="1">
      <c r="A722" s="5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9.0" customHeight="1">
      <c r="A723" s="5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9.0" customHeight="1">
      <c r="A724" s="5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9.0" customHeight="1">
      <c r="A725" s="5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9.0" customHeight="1">
      <c r="A726" s="5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9.0" customHeight="1">
      <c r="A727" s="5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9.0" customHeight="1">
      <c r="A728" s="5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9.0" customHeight="1">
      <c r="A729" s="5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9.0" customHeight="1">
      <c r="A730" s="5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9.0" customHeight="1">
      <c r="A731" s="5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9.0" customHeight="1">
      <c r="A732" s="5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9.0" customHeight="1">
      <c r="A733" s="5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9.0" customHeight="1">
      <c r="A734" s="5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9.0" customHeight="1">
      <c r="A735" s="5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9.0" customHeight="1">
      <c r="A736" s="5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9.0" customHeight="1">
      <c r="A737" s="5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9.0" customHeight="1">
      <c r="A738" s="5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9.0" customHeight="1">
      <c r="A739" s="5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9.0" customHeight="1">
      <c r="A740" s="5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9.0" customHeight="1">
      <c r="A741" s="5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9.0" customHeight="1">
      <c r="A742" s="5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9.0" customHeight="1">
      <c r="A743" s="5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9.0" customHeight="1">
      <c r="A744" s="5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9.0" customHeight="1">
      <c r="A745" s="5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9.0" customHeight="1">
      <c r="A746" s="5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9.0" customHeight="1">
      <c r="A747" s="5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9.0" customHeight="1">
      <c r="A748" s="5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9.0" customHeight="1">
      <c r="A749" s="5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9.0" customHeight="1">
      <c r="A750" s="5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9.0" customHeight="1">
      <c r="A751" s="5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9.0" customHeight="1">
      <c r="A752" s="5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9.0" customHeight="1">
      <c r="A753" s="5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9.0" customHeight="1">
      <c r="A754" s="5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9.0" customHeight="1">
      <c r="A755" s="5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9.0" customHeight="1">
      <c r="A756" s="5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9.0" customHeight="1">
      <c r="A757" s="5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9.0" customHeight="1">
      <c r="A758" s="5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9.0" customHeight="1">
      <c r="A759" s="5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9.0" customHeight="1">
      <c r="A760" s="5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9.0" customHeight="1">
      <c r="A761" s="5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9.0" customHeight="1">
      <c r="A762" s="5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9.0" customHeight="1">
      <c r="A763" s="5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9.0" customHeight="1">
      <c r="A764" s="5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9.0" customHeight="1">
      <c r="A765" s="5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9.0" customHeight="1">
      <c r="A766" s="5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9.0" customHeight="1">
      <c r="A767" s="5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9.0" customHeight="1">
      <c r="A768" s="5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9.0" customHeight="1">
      <c r="A769" s="5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9.0" customHeight="1">
      <c r="A770" s="5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9.0" customHeight="1">
      <c r="A771" s="5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9.0" customHeight="1">
      <c r="A772" s="5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9.0" customHeight="1">
      <c r="A773" s="5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9.0" customHeight="1">
      <c r="A774" s="5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9.0" customHeight="1">
      <c r="A775" s="5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9.0" customHeight="1">
      <c r="A776" s="5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9.0" customHeight="1">
      <c r="A777" s="5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9.0" customHeight="1">
      <c r="A778" s="5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9.0" customHeight="1">
      <c r="A779" s="5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9.0" customHeight="1">
      <c r="A780" s="5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9.0" customHeight="1">
      <c r="A781" s="5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9.0" customHeight="1">
      <c r="A782" s="5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9.0" customHeight="1">
      <c r="A783" s="5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9.0" customHeight="1">
      <c r="A784" s="5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9.0" customHeight="1">
      <c r="A785" s="5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9.0" customHeight="1">
      <c r="A786" s="5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9.0" customHeight="1">
      <c r="A787" s="5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9.0" customHeight="1">
      <c r="A788" s="5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9.0" customHeight="1">
      <c r="A789" s="5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9.0" customHeight="1">
      <c r="A790" s="5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9.0" customHeight="1">
      <c r="A791" s="5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9.0" customHeight="1">
      <c r="A792" s="5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9.0" customHeight="1">
      <c r="A793" s="5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9.0" customHeight="1">
      <c r="A794" s="5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9.0" customHeight="1">
      <c r="A795" s="5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9.0" customHeight="1">
      <c r="A796" s="5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9.0" customHeight="1">
      <c r="A797" s="5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9.0" customHeight="1">
      <c r="A798" s="5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9.0" customHeight="1">
      <c r="A799" s="5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9.0" customHeight="1">
      <c r="A800" s="5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9.0" customHeight="1">
      <c r="A801" s="5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9.0" customHeight="1">
      <c r="A802" s="5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9.0" customHeight="1">
      <c r="A803" s="5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9.0" customHeight="1">
      <c r="A804" s="5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9.0" customHeight="1">
      <c r="A805" s="5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9.0" customHeight="1">
      <c r="A806" s="5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9.0" customHeight="1">
      <c r="A807" s="5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9.0" customHeight="1">
      <c r="A808" s="5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9.0" customHeight="1">
      <c r="A809" s="5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9.0" customHeight="1">
      <c r="A810" s="5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9.0" customHeight="1">
      <c r="A811" s="5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9.0" customHeight="1">
      <c r="A812" s="5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9.0" customHeight="1">
      <c r="A813" s="5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9.0" customHeight="1">
      <c r="A814" s="5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9.0" customHeight="1">
      <c r="A815" s="5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9.0" customHeight="1">
      <c r="A816" s="5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9.0" customHeight="1">
      <c r="A817" s="5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9.0" customHeight="1">
      <c r="A818" s="5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9.0" customHeight="1">
      <c r="A819" s="5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9.0" customHeight="1">
      <c r="A820" s="5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9.0" customHeight="1">
      <c r="A821" s="5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9.0" customHeight="1">
      <c r="A822" s="5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9.0" customHeight="1">
      <c r="A823" s="5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9.0" customHeight="1">
      <c r="A824" s="5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9.0" customHeight="1">
      <c r="A825" s="5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9.0" customHeight="1">
      <c r="A826" s="5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9.0" customHeight="1">
      <c r="A827" s="5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9.0" customHeight="1">
      <c r="A828" s="5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9.0" customHeight="1">
      <c r="A829" s="5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9.0" customHeight="1">
      <c r="A830" s="5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9.0" customHeight="1">
      <c r="A831" s="5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9.0" customHeight="1">
      <c r="A832" s="5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9.0" customHeight="1">
      <c r="A833" s="5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9.0" customHeight="1">
      <c r="A834" s="5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9.0" customHeight="1">
      <c r="A835" s="5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9.0" customHeight="1">
      <c r="A836" s="5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9.0" customHeight="1">
      <c r="A837" s="5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9.0" customHeight="1">
      <c r="A838" s="5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9.0" customHeight="1">
      <c r="A839" s="5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9.0" customHeight="1">
      <c r="A840" s="5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9.0" customHeight="1">
      <c r="A841" s="5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9.0" customHeight="1">
      <c r="A842" s="5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9.0" customHeight="1">
      <c r="A843" s="5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9.0" customHeight="1">
      <c r="A844" s="5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9.0" customHeight="1">
      <c r="A845" s="5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9.0" customHeight="1">
      <c r="A846" s="5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9.0" customHeight="1">
      <c r="A847" s="5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9.0" customHeight="1">
      <c r="A848" s="5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9.0" customHeight="1">
      <c r="A849" s="5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9.0" customHeight="1">
      <c r="A850" s="5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9.0" customHeight="1">
      <c r="A851" s="5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9.0" customHeight="1">
      <c r="A852" s="5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9.0" customHeight="1">
      <c r="A853" s="5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9.0" customHeight="1">
      <c r="A854" s="5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9.0" customHeight="1">
      <c r="A855" s="5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9.0" customHeight="1">
      <c r="A856" s="5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9.0" customHeight="1">
      <c r="A857" s="5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9.0" customHeight="1">
      <c r="A858" s="5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9.0" customHeight="1">
      <c r="A859" s="5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9.0" customHeight="1">
      <c r="A860" s="5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9.0" customHeight="1">
      <c r="A861" s="5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9.0" customHeight="1">
      <c r="A862" s="5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9.0" customHeight="1">
      <c r="A863" s="5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9.0" customHeight="1">
      <c r="A864" s="5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9.0" customHeight="1">
      <c r="A865" s="5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9.0" customHeight="1">
      <c r="A866" s="5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9.0" customHeight="1">
      <c r="A867" s="5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9.0" customHeight="1">
      <c r="A868" s="5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9.0" customHeight="1">
      <c r="A869" s="5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9.0" customHeight="1">
      <c r="A870" s="5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9.0" customHeight="1">
      <c r="A871" s="5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9.0" customHeight="1">
      <c r="A872" s="5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9.0" customHeight="1">
      <c r="A873" s="5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9.0" customHeight="1">
      <c r="A874" s="5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9.0" customHeight="1">
      <c r="A875" s="5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9.0" customHeight="1">
      <c r="A876" s="5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9.0" customHeight="1">
      <c r="A877" s="5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9.0" customHeight="1">
      <c r="A878" s="5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9.0" customHeight="1">
      <c r="A879" s="5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9.0" customHeight="1">
      <c r="A880" s="5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9.0" customHeight="1">
      <c r="A881" s="5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9.0" customHeight="1">
      <c r="A882" s="5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9.0" customHeight="1">
      <c r="A883" s="5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9.0" customHeight="1">
      <c r="A884" s="5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9.0" customHeight="1">
      <c r="A885" s="5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9.0" customHeight="1">
      <c r="A886" s="5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9.0" customHeight="1">
      <c r="A887" s="5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9.0" customHeight="1">
      <c r="A888" s="5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9.0" customHeight="1">
      <c r="A889" s="5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9.0" customHeight="1">
      <c r="A890" s="5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9.0" customHeight="1">
      <c r="A891" s="5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9.0" customHeight="1">
      <c r="A892" s="5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9.0" customHeight="1">
      <c r="A893" s="5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9.0" customHeight="1">
      <c r="A894" s="5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9.0" customHeight="1">
      <c r="A895" s="5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9.0" customHeight="1">
      <c r="A896" s="5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9.0" customHeight="1">
      <c r="A897" s="5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9.0" customHeight="1">
      <c r="A898" s="5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9.0" customHeight="1">
      <c r="A899" s="5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9.0" customHeight="1">
      <c r="A900" s="5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9.0" customHeight="1">
      <c r="A901" s="5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9.0" customHeight="1">
      <c r="A902" s="5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9.0" customHeight="1">
      <c r="A903" s="5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9.0" customHeight="1">
      <c r="A904" s="5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9.0" customHeight="1">
      <c r="A905" s="5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9.0" customHeight="1">
      <c r="A906" s="5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9.0" customHeight="1">
      <c r="A907" s="5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9.0" customHeight="1">
      <c r="A908" s="5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9.0" customHeight="1">
      <c r="A909" s="5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9.0" customHeight="1">
      <c r="A910" s="5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9.0" customHeight="1">
      <c r="A911" s="5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9.0" customHeight="1">
      <c r="A912" s="5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9.0" customHeight="1">
      <c r="A913" s="5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9.0" customHeight="1">
      <c r="A914" s="5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9.0" customHeight="1">
      <c r="A915" s="5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9.0" customHeight="1">
      <c r="A916" s="5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9.0" customHeight="1">
      <c r="A917" s="5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9.0" customHeight="1">
      <c r="A918" s="5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9.0" customHeight="1">
      <c r="A919" s="5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9.0" customHeight="1">
      <c r="A920" s="5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9.0" customHeight="1">
      <c r="A921" s="5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9.0" customHeight="1">
      <c r="A922" s="5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9.0" customHeight="1">
      <c r="A923" s="5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9.0" customHeight="1">
      <c r="A924" s="5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9.0" customHeight="1">
      <c r="A925" s="5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9.0" customHeight="1">
      <c r="A926" s="5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9.0" customHeight="1">
      <c r="A927" s="5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9.0" customHeight="1">
      <c r="A928" s="5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9.0" customHeight="1">
      <c r="A929" s="5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9.0" customHeight="1">
      <c r="A930" s="5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9.0" customHeight="1">
      <c r="A931" s="5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9.0" customHeight="1">
      <c r="A932" s="5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9.0" customHeight="1">
      <c r="A933" s="5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9.0" customHeight="1">
      <c r="A934" s="5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9.0" customHeight="1">
      <c r="A935" s="5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9.0" customHeight="1">
      <c r="A936" s="5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9.0" customHeight="1">
      <c r="A937" s="5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9.0" customHeight="1">
      <c r="A938" s="5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9.0" customHeight="1">
      <c r="A939" s="5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9.0" customHeight="1">
      <c r="A940" s="5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9.0" customHeight="1">
      <c r="A941" s="5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9.0" customHeight="1">
      <c r="A942" s="5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9.0" customHeight="1">
      <c r="A943" s="5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9.0" customHeight="1">
      <c r="A944" s="5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9.0" customHeight="1">
      <c r="A945" s="5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9.0" customHeight="1">
      <c r="A946" s="5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9.0" customHeight="1">
      <c r="A947" s="5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9.0" customHeight="1">
      <c r="A948" s="5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9.0" customHeight="1">
      <c r="A949" s="5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9.0" customHeight="1">
      <c r="A950" s="5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9.0" customHeight="1">
      <c r="A951" s="5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9.0" customHeight="1">
      <c r="A952" s="5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9.0" customHeight="1">
      <c r="A953" s="5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9.0" customHeight="1">
      <c r="A954" s="5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9.0" customHeight="1">
      <c r="A955" s="5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9.0" customHeight="1">
      <c r="A956" s="5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9.0" customHeight="1">
      <c r="A957" s="5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9.0" customHeight="1">
      <c r="A958" s="5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9.0" customHeight="1">
      <c r="A959" s="5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9.0" customHeight="1">
      <c r="A960" s="5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9.0" customHeight="1">
      <c r="A961" s="5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9.0" customHeight="1">
      <c r="A962" s="5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9.0" customHeight="1">
      <c r="A963" s="5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9.0" customHeight="1">
      <c r="A964" s="5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9.0" customHeight="1">
      <c r="A965" s="5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9.0" customHeight="1">
      <c r="A966" s="5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9.0" customHeight="1">
      <c r="A967" s="5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9.0" customHeight="1">
      <c r="A968" s="5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9.0" customHeight="1">
      <c r="A969" s="5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9.0" customHeight="1">
      <c r="A970" s="5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9.0" customHeight="1">
      <c r="A971" s="5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9.0" customHeight="1">
      <c r="A972" s="5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9.0" customHeight="1">
      <c r="A973" s="5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9.0" customHeight="1">
      <c r="A974" s="5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9.0" customHeight="1">
      <c r="A975" s="5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9.0" customHeight="1">
      <c r="A976" s="5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9.0" customHeight="1">
      <c r="A977" s="5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9.0" customHeight="1">
      <c r="A978" s="5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9.0" customHeight="1">
      <c r="A979" s="5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9.0" customHeight="1">
      <c r="A980" s="5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9.0" customHeight="1">
      <c r="A981" s="5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9.0" customHeight="1">
      <c r="A982" s="5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9.0" customHeight="1">
      <c r="A983" s="5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9.0" customHeight="1">
      <c r="A984" s="5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9.0" customHeight="1">
      <c r="A985" s="5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9.0" customHeight="1">
      <c r="A986" s="5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9.0" customHeight="1">
      <c r="A987" s="5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9.0" customHeight="1">
      <c r="A988" s="5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9.0" customHeight="1">
      <c r="A989" s="5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9.0" customHeight="1">
      <c r="A990" s="5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9.0" customHeight="1">
      <c r="A991" s="5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9.0" customHeight="1">
      <c r="A992" s="5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9.0" customHeight="1">
      <c r="A993" s="5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9.0" customHeight="1">
      <c r="A994" s="5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9.0" customHeight="1">
      <c r="A995" s="5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9.0" customHeight="1">
      <c r="A996" s="5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9.0" customHeight="1">
      <c r="A997" s="5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>
      <c r="A998" s="71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</row>
    <row r="999">
      <c r="A999" s="71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</row>
    <row r="1000">
      <c r="A1000" s="71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</row>
  </sheetData>
  <mergeCells count="27">
    <mergeCell ref="A1:C3"/>
    <mergeCell ref="D1:F1"/>
    <mergeCell ref="H1:I1"/>
    <mergeCell ref="D2:F3"/>
    <mergeCell ref="H2:I2"/>
    <mergeCell ref="H3:I3"/>
    <mergeCell ref="E4:I4"/>
    <mergeCell ref="A6:D6"/>
    <mergeCell ref="B7:D8"/>
    <mergeCell ref="A45:F48"/>
    <mergeCell ref="B50:E50"/>
    <mergeCell ref="B52:E52"/>
    <mergeCell ref="B53:E53"/>
    <mergeCell ref="E7:F7"/>
    <mergeCell ref="G7:G10"/>
    <mergeCell ref="E8:F8"/>
    <mergeCell ref="E9:F9"/>
    <mergeCell ref="H7:H10"/>
    <mergeCell ref="I7:I10"/>
    <mergeCell ref="A4:D4"/>
    <mergeCell ref="A5:D5"/>
    <mergeCell ref="E5:F5"/>
    <mergeCell ref="G5:I5"/>
    <mergeCell ref="E6:F6"/>
    <mergeCell ref="G6:I6"/>
    <mergeCell ref="A7:A10"/>
    <mergeCell ref="B9:D9"/>
  </mergeCells>
  <printOptions horizontalCentered="1" verticalCentered="1"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2" max="2" width="15.14"/>
    <col customWidth="1" min="3" max="3" width="17.0"/>
    <col customWidth="1" min="4" max="4" width="20.29"/>
    <col customWidth="1" min="5" max="5" width="30.57"/>
    <col customWidth="1" min="6" max="6" width="34.43"/>
    <col customWidth="1" min="7" max="7" width="16.0"/>
    <col customWidth="1" min="8" max="8" width="15.0"/>
    <col customWidth="1" min="9" max="9" width="17.0"/>
    <col customWidth="1" min="10" max="19" width="11.43"/>
  </cols>
  <sheetData>
    <row r="1" ht="21.0" customHeight="1">
      <c r="A1" s="1"/>
      <c r="B1" s="2"/>
      <c r="C1" s="3"/>
      <c r="D1" s="4" t="s">
        <v>0</v>
      </c>
      <c r="E1" s="5"/>
      <c r="F1" s="6"/>
      <c r="G1" s="7" t="s">
        <v>1</v>
      </c>
      <c r="H1" s="8" t="s">
        <v>2</v>
      </c>
      <c r="I1" s="6"/>
      <c r="J1" s="9"/>
      <c r="K1" s="9"/>
      <c r="L1" s="9"/>
      <c r="M1" s="9"/>
      <c r="N1" s="9"/>
      <c r="O1" s="9"/>
      <c r="P1" s="9"/>
      <c r="Q1" s="9"/>
      <c r="R1" s="9"/>
      <c r="S1" s="9"/>
    </row>
    <row r="2" ht="21.0" customHeight="1">
      <c r="A2" s="10"/>
      <c r="C2" s="11"/>
      <c r="D2" s="12" t="s">
        <v>3</v>
      </c>
      <c r="E2" s="2"/>
      <c r="F2" s="3"/>
      <c r="G2" s="7" t="s">
        <v>4</v>
      </c>
      <c r="H2" s="8">
        <v>1.0</v>
      </c>
      <c r="I2" s="6"/>
      <c r="J2" s="9"/>
      <c r="K2" s="9"/>
      <c r="L2" s="9"/>
      <c r="M2" s="9"/>
      <c r="N2" s="9"/>
      <c r="O2" s="9"/>
      <c r="P2" s="9"/>
      <c r="Q2" s="9"/>
      <c r="R2" s="9"/>
      <c r="S2" s="9"/>
    </row>
    <row r="3" ht="21.0" customHeight="1">
      <c r="A3" s="13"/>
      <c r="B3" s="14"/>
      <c r="C3" s="15"/>
      <c r="D3" s="13"/>
      <c r="E3" s="14"/>
      <c r="F3" s="15"/>
      <c r="G3" s="7" t="s">
        <v>5</v>
      </c>
      <c r="H3" s="72">
        <v>45962.0</v>
      </c>
      <c r="I3" s="6"/>
      <c r="J3" s="9"/>
      <c r="K3" s="9"/>
      <c r="L3" s="9"/>
      <c r="M3" s="9"/>
      <c r="N3" s="9"/>
      <c r="O3" s="9"/>
      <c r="P3" s="9"/>
      <c r="Q3" s="9"/>
      <c r="R3" s="9"/>
      <c r="S3" s="9"/>
    </row>
    <row r="4" ht="15.0" customHeight="1">
      <c r="A4" s="17" t="s">
        <v>6</v>
      </c>
      <c r="B4" s="5"/>
      <c r="C4" s="5"/>
      <c r="D4" s="6"/>
      <c r="E4" s="18" t="s">
        <v>7</v>
      </c>
      <c r="F4" s="5"/>
      <c r="G4" s="5"/>
      <c r="H4" s="5"/>
      <c r="I4" s="6"/>
      <c r="J4" s="9"/>
      <c r="K4" s="9"/>
      <c r="L4" s="9"/>
      <c r="M4" s="9"/>
      <c r="N4" s="9"/>
      <c r="O4" s="9"/>
      <c r="P4" s="9"/>
      <c r="Q4" s="9"/>
      <c r="R4" s="9"/>
      <c r="S4" s="9"/>
    </row>
    <row r="5" ht="15.75" customHeight="1">
      <c r="A5" s="17" t="s">
        <v>8</v>
      </c>
      <c r="B5" s="5"/>
      <c r="C5" s="5"/>
      <c r="D5" s="6"/>
      <c r="E5" s="19"/>
      <c r="F5" s="6"/>
      <c r="G5" s="17"/>
      <c r="H5" s="5"/>
      <c r="I5" s="6"/>
      <c r="J5" s="20"/>
      <c r="K5" s="20"/>
      <c r="L5" s="20"/>
      <c r="M5" s="20"/>
      <c r="N5" s="20"/>
      <c r="O5" s="20"/>
      <c r="P5" s="20"/>
      <c r="Q5" s="20"/>
      <c r="R5" s="20"/>
      <c r="S5" s="20"/>
    </row>
    <row r="6">
      <c r="A6" s="17" t="s">
        <v>9</v>
      </c>
      <c r="B6" s="5"/>
      <c r="C6" s="5"/>
      <c r="D6" s="6"/>
      <c r="E6" s="17" t="s">
        <v>10</v>
      </c>
      <c r="F6" s="6"/>
      <c r="G6" s="17"/>
      <c r="H6" s="5"/>
      <c r="I6" s="6"/>
      <c r="J6" s="9"/>
      <c r="K6" s="9"/>
      <c r="L6" s="9"/>
      <c r="M6" s="9"/>
      <c r="N6" s="9"/>
      <c r="O6" s="9"/>
      <c r="P6" s="9"/>
      <c r="Q6" s="9"/>
      <c r="R6" s="9"/>
      <c r="S6" s="9"/>
    </row>
    <row r="7" ht="34.5" customHeight="1">
      <c r="A7" s="21" t="s">
        <v>11</v>
      </c>
      <c r="B7" s="22" t="s">
        <v>12</v>
      </c>
      <c r="D7" s="11"/>
      <c r="E7" s="23" t="s">
        <v>13</v>
      </c>
      <c r="F7" s="15"/>
      <c r="G7" s="24" t="s">
        <v>14</v>
      </c>
      <c r="H7" s="24" t="s">
        <v>15</v>
      </c>
      <c r="I7" s="24" t="s">
        <v>16</v>
      </c>
      <c r="J7" s="9"/>
      <c r="K7" s="9"/>
      <c r="L7" s="9"/>
      <c r="M7" s="9"/>
      <c r="N7" s="9"/>
      <c r="O7" s="9"/>
      <c r="P7" s="9"/>
      <c r="Q7" s="9"/>
      <c r="R7" s="9"/>
      <c r="S7" s="9"/>
    </row>
    <row r="8" ht="24.75" customHeight="1">
      <c r="A8" s="25"/>
      <c r="B8" s="13"/>
      <c r="C8" s="14"/>
      <c r="D8" s="15"/>
      <c r="E8" s="26" t="s">
        <v>17</v>
      </c>
      <c r="F8" s="6"/>
      <c r="G8" s="25"/>
      <c r="H8" s="25"/>
      <c r="I8" s="25"/>
      <c r="J8" s="9"/>
      <c r="K8" s="9"/>
      <c r="L8" s="9"/>
      <c r="M8" s="9"/>
      <c r="N8" s="9"/>
      <c r="O8" s="9"/>
      <c r="P8" s="9"/>
      <c r="Q8" s="9"/>
      <c r="R8" s="9"/>
      <c r="S8" s="9"/>
    </row>
    <row r="9" ht="63.75" customHeight="1">
      <c r="A9" s="25"/>
      <c r="B9" s="27" t="s">
        <v>18</v>
      </c>
      <c r="C9" s="5"/>
      <c r="D9" s="6"/>
      <c r="E9" s="27" t="s">
        <v>19</v>
      </c>
      <c r="F9" s="6"/>
      <c r="G9" s="25"/>
      <c r="H9" s="25"/>
      <c r="I9" s="25"/>
      <c r="J9" s="9"/>
      <c r="K9" s="9"/>
      <c r="L9" s="9"/>
      <c r="M9" s="9"/>
      <c r="N9" s="9"/>
      <c r="O9" s="9"/>
      <c r="P9" s="9"/>
      <c r="Q9" s="9"/>
      <c r="R9" s="9"/>
      <c r="S9" s="9"/>
    </row>
    <row r="10" ht="43.5" customHeight="1">
      <c r="A10" s="28"/>
      <c r="B10" s="29" t="s">
        <v>20</v>
      </c>
      <c r="C10" s="30" t="s">
        <v>21</v>
      </c>
      <c r="D10" s="31" t="s">
        <v>22</v>
      </c>
      <c r="E10" s="32" t="s">
        <v>23</v>
      </c>
      <c r="F10" s="32" t="s">
        <v>24</v>
      </c>
      <c r="G10" s="28"/>
      <c r="H10" s="28"/>
      <c r="I10" s="28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ht="19.5" customHeight="1">
      <c r="A11" s="33">
        <v>1.0</v>
      </c>
      <c r="B11" s="73">
        <v>1.0</v>
      </c>
      <c r="C11" s="73">
        <v>0.5</v>
      </c>
      <c r="D11" s="35"/>
      <c r="E11" s="35"/>
      <c r="F11" s="35"/>
      <c r="G11" s="36">
        <f t="shared" ref="G11:G41" si="1">+SUM(B11:D11)</f>
        <v>1.5</v>
      </c>
      <c r="H11" s="36">
        <f t="shared" ref="H11:H41" si="2">+SUM(E11:F11)</f>
        <v>0</v>
      </c>
      <c r="I11" s="36">
        <f t="shared" ref="I11:I41" si="3">+G11+H11</f>
        <v>1.5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</row>
    <row r="12" ht="19.5" customHeight="1">
      <c r="A12" s="33">
        <v>2.0</v>
      </c>
      <c r="B12" s="38"/>
      <c r="C12" s="39"/>
      <c r="D12" s="40"/>
      <c r="E12" s="40"/>
      <c r="F12" s="40"/>
      <c r="G12" s="36">
        <f t="shared" si="1"/>
        <v>0</v>
      </c>
      <c r="H12" s="36">
        <f t="shared" si="2"/>
        <v>0</v>
      </c>
      <c r="I12" s="36">
        <f t="shared" si="3"/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 ht="19.5" customHeight="1">
      <c r="A13" s="33">
        <v>3.0</v>
      </c>
      <c r="B13" s="38"/>
      <c r="C13" s="39"/>
      <c r="D13" s="40"/>
      <c r="E13" s="40"/>
      <c r="F13" s="40"/>
      <c r="G13" s="36">
        <f t="shared" si="1"/>
        <v>0</v>
      </c>
      <c r="H13" s="36">
        <f t="shared" si="2"/>
        <v>0</v>
      </c>
      <c r="I13" s="36">
        <f t="shared" si="3"/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</row>
    <row r="14" ht="19.5" customHeight="1">
      <c r="A14" s="33">
        <v>4.0</v>
      </c>
      <c r="B14" s="34"/>
      <c r="C14" s="34"/>
      <c r="D14" s="35"/>
      <c r="E14" s="35"/>
      <c r="F14" s="35"/>
      <c r="G14" s="36">
        <f t="shared" si="1"/>
        <v>0</v>
      </c>
      <c r="H14" s="36">
        <f t="shared" si="2"/>
        <v>0</v>
      </c>
      <c r="I14" s="36">
        <f t="shared" si="3"/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</row>
    <row r="15" ht="19.5" customHeight="1">
      <c r="A15" s="33">
        <v>5.0</v>
      </c>
      <c r="B15" s="73">
        <v>1.0</v>
      </c>
      <c r="C15" s="73">
        <v>0.5</v>
      </c>
      <c r="D15" s="35"/>
      <c r="E15" s="35"/>
      <c r="F15" s="35"/>
      <c r="G15" s="36">
        <f t="shared" si="1"/>
        <v>1.5</v>
      </c>
      <c r="H15" s="36">
        <f t="shared" si="2"/>
        <v>0</v>
      </c>
      <c r="I15" s="36">
        <f t="shared" si="3"/>
        <v>1.5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</row>
    <row r="16" ht="19.5" customHeight="1">
      <c r="A16" s="33">
        <v>6.0</v>
      </c>
      <c r="B16" s="34"/>
      <c r="C16" s="34"/>
      <c r="D16" s="35"/>
      <c r="E16" s="35"/>
      <c r="F16" s="35"/>
      <c r="G16" s="36">
        <f t="shared" si="1"/>
        <v>0</v>
      </c>
      <c r="H16" s="36">
        <f t="shared" si="2"/>
        <v>0</v>
      </c>
      <c r="I16" s="36">
        <f t="shared" si="3"/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</row>
    <row r="17" ht="19.5" customHeight="1">
      <c r="A17" s="33">
        <v>7.0</v>
      </c>
      <c r="B17" s="34"/>
      <c r="C17" s="34"/>
      <c r="D17" s="35"/>
      <c r="E17" s="35"/>
      <c r="F17" s="35"/>
      <c r="G17" s="36">
        <f t="shared" si="1"/>
        <v>0</v>
      </c>
      <c r="H17" s="36">
        <f t="shared" si="2"/>
        <v>0</v>
      </c>
      <c r="I17" s="36">
        <f t="shared" si="3"/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</row>
    <row r="18" ht="19.5" customHeight="1">
      <c r="A18" s="33">
        <v>8.0</v>
      </c>
      <c r="B18" s="34"/>
      <c r="C18" s="34"/>
      <c r="D18" s="35"/>
      <c r="E18" s="35"/>
      <c r="F18" s="35"/>
      <c r="G18" s="36">
        <f t="shared" si="1"/>
        <v>0</v>
      </c>
      <c r="H18" s="36">
        <f t="shared" si="2"/>
        <v>0</v>
      </c>
      <c r="I18" s="36">
        <f t="shared" si="3"/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</row>
    <row r="19" ht="19.5" customHeight="1">
      <c r="A19" s="33">
        <v>9.0</v>
      </c>
      <c r="B19" s="34"/>
      <c r="C19" s="34"/>
      <c r="D19" s="42"/>
      <c r="E19" s="42"/>
      <c r="F19" s="35"/>
      <c r="G19" s="36">
        <f t="shared" si="1"/>
        <v>0</v>
      </c>
      <c r="H19" s="36">
        <f t="shared" si="2"/>
        <v>0</v>
      </c>
      <c r="I19" s="36">
        <f t="shared" si="3"/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</row>
    <row r="20" ht="19.5" customHeight="1">
      <c r="A20" s="33">
        <v>10.0</v>
      </c>
      <c r="B20" s="73">
        <v>1.0</v>
      </c>
      <c r="C20" s="73">
        <v>0.5</v>
      </c>
      <c r="D20" s="42"/>
      <c r="E20" s="45">
        <v>1.0</v>
      </c>
      <c r="F20" s="35"/>
      <c r="G20" s="36">
        <f t="shared" si="1"/>
        <v>1.5</v>
      </c>
      <c r="H20" s="36">
        <f t="shared" si="2"/>
        <v>1</v>
      </c>
      <c r="I20" s="36">
        <f t="shared" si="3"/>
        <v>2.5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</row>
    <row r="21" ht="19.5" customHeight="1">
      <c r="A21" s="33">
        <v>11.0</v>
      </c>
      <c r="B21" s="34"/>
      <c r="C21" s="34"/>
      <c r="D21" s="42"/>
      <c r="E21" s="42"/>
      <c r="F21" s="35"/>
      <c r="G21" s="36">
        <f t="shared" si="1"/>
        <v>0</v>
      </c>
      <c r="H21" s="36">
        <f t="shared" si="2"/>
        <v>0</v>
      </c>
      <c r="I21" s="36">
        <f t="shared" si="3"/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</row>
    <row r="22" ht="19.5" customHeight="1">
      <c r="A22" s="33">
        <v>12.0</v>
      </c>
      <c r="B22" s="34"/>
      <c r="C22" s="34"/>
      <c r="D22" s="42"/>
      <c r="E22" s="42"/>
      <c r="F22" s="35"/>
      <c r="G22" s="36">
        <f t="shared" si="1"/>
        <v>0</v>
      </c>
      <c r="H22" s="36">
        <f t="shared" si="2"/>
        <v>0</v>
      </c>
      <c r="I22" s="36">
        <f t="shared" si="3"/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</row>
    <row r="23" ht="19.5" customHeight="1">
      <c r="A23" s="33">
        <v>13.0</v>
      </c>
      <c r="B23" s="34"/>
      <c r="C23" s="34"/>
      <c r="D23" s="42"/>
      <c r="E23" s="43"/>
      <c r="F23" s="35"/>
      <c r="G23" s="36">
        <f t="shared" si="1"/>
        <v>0</v>
      </c>
      <c r="H23" s="36">
        <f t="shared" si="2"/>
        <v>0</v>
      </c>
      <c r="I23" s="36">
        <f t="shared" si="3"/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</row>
    <row r="24" ht="19.5" customHeight="1">
      <c r="A24" s="33">
        <v>14.0</v>
      </c>
      <c r="B24" s="34"/>
      <c r="C24" s="34"/>
      <c r="D24" s="42"/>
      <c r="E24" s="42"/>
      <c r="F24" s="35"/>
      <c r="G24" s="36">
        <f t="shared" si="1"/>
        <v>0</v>
      </c>
      <c r="H24" s="36">
        <f t="shared" si="2"/>
        <v>0</v>
      </c>
      <c r="I24" s="36">
        <f t="shared" si="3"/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</row>
    <row r="25" ht="19.5" customHeight="1">
      <c r="A25" s="33">
        <v>15.0</v>
      </c>
      <c r="B25" s="34"/>
      <c r="C25" s="34"/>
      <c r="D25" s="42"/>
      <c r="E25" s="42"/>
      <c r="F25" s="35"/>
      <c r="G25" s="36">
        <f t="shared" si="1"/>
        <v>0</v>
      </c>
      <c r="H25" s="36">
        <f t="shared" si="2"/>
        <v>0</v>
      </c>
      <c r="I25" s="36">
        <f t="shared" si="3"/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</row>
    <row r="26" ht="19.5" customHeight="1">
      <c r="A26" s="33">
        <v>16.0</v>
      </c>
      <c r="B26" s="34"/>
      <c r="C26" s="34"/>
      <c r="D26" s="42"/>
      <c r="E26" s="42"/>
      <c r="F26" s="35"/>
      <c r="G26" s="36">
        <f t="shared" si="1"/>
        <v>0</v>
      </c>
      <c r="H26" s="36">
        <f t="shared" si="2"/>
        <v>0</v>
      </c>
      <c r="I26" s="36">
        <f t="shared" si="3"/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</row>
    <row r="27" ht="19.5" customHeight="1">
      <c r="A27" s="33">
        <v>17.0</v>
      </c>
      <c r="B27" s="34"/>
      <c r="C27" s="34"/>
      <c r="D27" s="42"/>
      <c r="E27" s="42"/>
      <c r="F27" s="35"/>
      <c r="G27" s="36">
        <f t="shared" si="1"/>
        <v>0</v>
      </c>
      <c r="H27" s="36">
        <f t="shared" si="2"/>
        <v>0</v>
      </c>
      <c r="I27" s="36">
        <f t="shared" si="3"/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</row>
    <row r="28" ht="19.5" customHeight="1">
      <c r="A28" s="33">
        <v>18.0</v>
      </c>
      <c r="B28" s="34"/>
      <c r="C28" s="34"/>
      <c r="D28" s="42"/>
      <c r="E28" s="42"/>
      <c r="F28" s="35"/>
      <c r="G28" s="36">
        <f t="shared" si="1"/>
        <v>0</v>
      </c>
      <c r="H28" s="36">
        <f t="shared" si="2"/>
        <v>0</v>
      </c>
      <c r="I28" s="36">
        <f t="shared" si="3"/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</row>
    <row r="29" ht="19.5" customHeight="1">
      <c r="A29" s="33">
        <v>19.0</v>
      </c>
      <c r="B29" s="34"/>
      <c r="C29" s="34"/>
      <c r="D29" s="42"/>
      <c r="E29" s="42"/>
      <c r="F29" s="35"/>
      <c r="G29" s="36">
        <f t="shared" si="1"/>
        <v>0</v>
      </c>
      <c r="H29" s="36">
        <f t="shared" si="2"/>
        <v>0</v>
      </c>
      <c r="I29" s="36">
        <f t="shared" si="3"/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</row>
    <row r="30" ht="19.5" customHeight="1">
      <c r="A30" s="33">
        <v>20.0</v>
      </c>
      <c r="B30" s="34"/>
      <c r="C30" s="34"/>
      <c r="D30" s="42"/>
      <c r="E30" s="42"/>
      <c r="F30" s="35"/>
      <c r="G30" s="36">
        <f t="shared" si="1"/>
        <v>0</v>
      </c>
      <c r="H30" s="36">
        <f t="shared" si="2"/>
        <v>0</v>
      </c>
      <c r="I30" s="36">
        <f t="shared" si="3"/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 ht="19.5" customHeight="1">
      <c r="A31" s="33">
        <v>21.0</v>
      </c>
      <c r="B31" s="34"/>
      <c r="C31" s="34"/>
      <c r="D31" s="42"/>
      <c r="E31" s="42"/>
      <c r="F31" s="35"/>
      <c r="G31" s="36">
        <f t="shared" si="1"/>
        <v>0</v>
      </c>
      <c r="H31" s="36">
        <f t="shared" si="2"/>
        <v>0</v>
      </c>
      <c r="I31" s="36">
        <f t="shared" si="3"/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</row>
    <row r="32" ht="19.5" customHeight="1">
      <c r="A32" s="33">
        <v>22.0</v>
      </c>
      <c r="B32" s="34"/>
      <c r="C32" s="34"/>
      <c r="D32" s="42"/>
      <c r="E32" s="42"/>
      <c r="F32" s="35"/>
      <c r="G32" s="36">
        <f t="shared" si="1"/>
        <v>0</v>
      </c>
      <c r="H32" s="36">
        <f t="shared" si="2"/>
        <v>0</v>
      </c>
      <c r="I32" s="36">
        <f t="shared" si="3"/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</row>
    <row r="33" ht="19.5" customHeight="1">
      <c r="A33" s="33">
        <v>23.0</v>
      </c>
      <c r="B33" s="34"/>
      <c r="C33" s="34"/>
      <c r="D33" s="42"/>
      <c r="E33" s="42"/>
      <c r="F33" s="35"/>
      <c r="G33" s="36">
        <f t="shared" si="1"/>
        <v>0</v>
      </c>
      <c r="H33" s="36">
        <f t="shared" si="2"/>
        <v>0</v>
      </c>
      <c r="I33" s="36">
        <f t="shared" si="3"/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</row>
    <row r="34" ht="19.5" customHeight="1">
      <c r="A34" s="33">
        <v>24.0</v>
      </c>
      <c r="B34" s="34"/>
      <c r="C34" s="34"/>
      <c r="D34" s="42"/>
      <c r="E34" s="46"/>
      <c r="F34" s="35"/>
      <c r="G34" s="36">
        <f t="shared" si="1"/>
        <v>0</v>
      </c>
      <c r="H34" s="36">
        <f t="shared" si="2"/>
        <v>0</v>
      </c>
      <c r="I34" s="36">
        <f t="shared" si="3"/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</row>
    <row r="35" ht="19.5" customHeight="1">
      <c r="A35" s="33">
        <v>25.0</v>
      </c>
      <c r="B35" s="34"/>
      <c r="C35" s="34"/>
      <c r="D35" s="42"/>
      <c r="E35" s="42"/>
      <c r="F35" s="35"/>
      <c r="G35" s="36">
        <f t="shared" si="1"/>
        <v>0</v>
      </c>
      <c r="H35" s="36">
        <f t="shared" si="2"/>
        <v>0</v>
      </c>
      <c r="I35" s="36">
        <f t="shared" si="3"/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</row>
    <row r="36" ht="19.5" customHeight="1">
      <c r="A36" s="33">
        <v>26.0</v>
      </c>
      <c r="B36" s="34"/>
      <c r="C36" s="34"/>
      <c r="D36" s="42"/>
      <c r="E36" s="42"/>
      <c r="F36" s="35"/>
      <c r="G36" s="36">
        <f t="shared" si="1"/>
        <v>0</v>
      </c>
      <c r="H36" s="36">
        <f t="shared" si="2"/>
        <v>0</v>
      </c>
      <c r="I36" s="36">
        <f t="shared" si="3"/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</row>
    <row r="37" ht="19.5" customHeight="1">
      <c r="A37" s="33">
        <v>27.0</v>
      </c>
      <c r="B37" s="34"/>
      <c r="C37" s="34"/>
      <c r="D37" s="42"/>
      <c r="E37" s="42"/>
      <c r="F37" s="35"/>
      <c r="G37" s="36">
        <f t="shared" si="1"/>
        <v>0</v>
      </c>
      <c r="H37" s="36">
        <f t="shared" si="2"/>
        <v>0</v>
      </c>
      <c r="I37" s="36">
        <f t="shared" si="3"/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</row>
    <row r="38" ht="19.5" customHeight="1">
      <c r="A38" s="33">
        <v>28.0</v>
      </c>
      <c r="B38" s="34"/>
      <c r="C38" s="34"/>
      <c r="D38" s="42"/>
      <c r="E38" s="42"/>
      <c r="F38" s="35"/>
      <c r="G38" s="36">
        <f t="shared" si="1"/>
        <v>0</v>
      </c>
      <c r="H38" s="36">
        <f t="shared" si="2"/>
        <v>0</v>
      </c>
      <c r="I38" s="36">
        <f t="shared" si="3"/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</row>
    <row r="39" ht="19.5" customHeight="1">
      <c r="A39" s="33">
        <v>29.0</v>
      </c>
      <c r="B39" s="34"/>
      <c r="C39" s="34"/>
      <c r="D39" s="42"/>
      <c r="E39" s="42"/>
      <c r="F39" s="35"/>
      <c r="G39" s="36">
        <f t="shared" si="1"/>
        <v>0</v>
      </c>
      <c r="H39" s="36">
        <f t="shared" si="2"/>
        <v>0</v>
      </c>
      <c r="I39" s="36">
        <f t="shared" si="3"/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</row>
    <row r="40" ht="19.5" customHeight="1">
      <c r="A40" s="33">
        <v>30.0</v>
      </c>
      <c r="B40" s="34"/>
      <c r="C40" s="34"/>
      <c r="D40" s="42"/>
      <c r="E40" s="42"/>
      <c r="F40" s="35"/>
      <c r="G40" s="36">
        <f t="shared" si="1"/>
        <v>0</v>
      </c>
      <c r="H40" s="36">
        <f t="shared" si="2"/>
        <v>0</v>
      </c>
      <c r="I40" s="36">
        <f t="shared" si="3"/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</row>
    <row r="41" ht="19.5" customHeight="1">
      <c r="A41" s="33">
        <v>31.0</v>
      </c>
      <c r="B41" s="34"/>
      <c r="C41" s="34"/>
      <c r="D41" s="42"/>
      <c r="E41" s="42"/>
      <c r="F41" s="35"/>
      <c r="G41" s="36">
        <f t="shared" si="1"/>
        <v>0</v>
      </c>
      <c r="H41" s="36">
        <f t="shared" si="2"/>
        <v>0</v>
      </c>
      <c r="I41" s="36">
        <f t="shared" si="3"/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</row>
    <row r="42" ht="21.0" customHeight="1">
      <c r="A42" s="47" t="s">
        <v>27</v>
      </c>
      <c r="B42" s="48">
        <f t="shared" ref="B42:I42" si="4">+SUM(B11:B41)</f>
        <v>3</v>
      </c>
      <c r="C42" s="48">
        <f t="shared" si="4"/>
        <v>1.5</v>
      </c>
      <c r="D42" s="48">
        <f t="shared" si="4"/>
        <v>0</v>
      </c>
      <c r="E42" s="48">
        <f t="shared" si="4"/>
        <v>1</v>
      </c>
      <c r="F42" s="48">
        <f t="shared" si="4"/>
        <v>0</v>
      </c>
      <c r="G42" s="47">
        <f t="shared" si="4"/>
        <v>4.5</v>
      </c>
      <c r="H42" s="47">
        <f t="shared" si="4"/>
        <v>1</v>
      </c>
      <c r="I42" s="47">
        <f t="shared" si="4"/>
        <v>5.5</v>
      </c>
      <c r="J42" s="49"/>
      <c r="K42" s="49"/>
      <c r="L42" s="49"/>
      <c r="M42" s="49"/>
      <c r="N42" s="49"/>
      <c r="O42" s="49"/>
      <c r="P42" s="49"/>
      <c r="Q42" s="49"/>
      <c r="R42" s="49"/>
      <c r="S42" s="49"/>
    </row>
    <row r="43" ht="9.0" hidden="1" customHeight="1">
      <c r="A43" s="50" t="s">
        <v>28</v>
      </c>
      <c r="B43" s="51">
        <f>(B42/A41)</f>
        <v>0.09677419355</v>
      </c>
      <c r="C43" s="51">
        <f>(C42/A41)</f>
        <v>0.04838709677</v>
      </c>
      <c r="D43" s="51">
        <f>D42/A41</f>
        <v>0</v>
      </c>
      <c r="E43" s="51">
        <f t="shared" ref="E43:F43" si="5">(E42/31)</f>
        <v>0.03225806452</v>
      </c>
      <c r="F43" s="51">
        <f t="shared" si="5"/>
        <v>0</v>
      </c>
      <c r="G43" s="52">
        <f>+SUM(B43:D43)</f>
        <v>0.1451612903</v>
      </c>
      <c r="H43" s="52">
        <f>+SUM(E43:F43)</f>
        <v>0.03225806452</v>
      </c>
      <c r="I43" s="52">
        <f>+G43+H43</f>
        <v>0.1774193548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9.0" hidden="1" customHeight="1">
      <c r="A44" s="53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9.0" hidden="1" customHeight="1">
      <c r="A45" s="54" t="s">
        <v>29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9.0" hidden="1" customHeight="1"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9.0" hidden="1" customHeight="1"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9.0" hidden="1" customHeight="1"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9.0" hidden="1" customHeight="1">
      <c r="A49" s="53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2.0" hidden="1" customHeight="1">
      <c r="A50" s="55"/>
      <c r="B50" s="56" t="s">
        <v>30</v>
      </c>
      <c r="C50" s="57"/>
      <c r="D50" s="57"/>
      <c r="E50" s="57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2.0" hidden="1" customHeight="1">
      <c r="A51" s="58"/>
      <c r="B51" s="59" t="s">
        <v>31</v>
      </c>
      <c r="C51" s="59"/>
      <c r="D51" s="59"/>
      <c r="E51" s="5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2.0" hidden="1" customHeight="1">
      <c r="A52" s="60"/>
      <c r="B52" s="59" t="s">
        <v>32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2.0" hidden="1" customHeight="1">
      <c r="A53" s="61"/>
      <c r="B53" s="59" t="s">
        <v>33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2.75" hidden="1" customHeight="1">
      <c r="A54" s="62"/>
      <c r="B54" s="63" t="s">
        <v>34</v>
      </c>
      <c r="C54" s="64"/>
      <c r="D54" s="64"/>
      <c r="E54" s="64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9.0" hidden="1" customHeight="1">
      <c r="A55" s="5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24.0" customHeight="1">
      <c r="A56" s="65" t="s">
        <v>35</v>
      </c>
      <c r="B56" s="66">
        <f>(B42/I42)</f>
        <v>0.5454545455</v>
      </c>
      <c r="C56" s="66">
        <f>(C42/I42)</f>
        <v>0.2727272727</v>
      </c>
      <c r="D56" s="65"/>
      <c r="E56" s="66">
        <f>(E42/I42)</f>
        <v>0.1818181818</v>
      </c>
      <c r="F56" s="65"/>
      <c r="G56" s="65"/>
      <c r="H56" s="65"/>
      <c r="I56" s="65"/>
      <c r="J56" s="67"/>
      <c r="K56" s="67"/>
      <c r="L56" s="67"/>
      <c r="M56" s="67"/>
      <c r="N56" s="67"/>
      <c r="O56" s="67"/>
      <c r="P56" s="67"/>
      <c r="Q56" s="67"/>
      <c r="R56" s="67"/>
      <c r="S56" s="67"/>
    </row>
    <row r="57" ht="27.0" customHeight="1">
      <c r="A57" s="68" t="s">
        <v>36</v>
      </c>
      <c r="B57" s="69" t="s">
        <v>37</v>
      </c>
      <c r="C57" s="69" t="s">
        <v>38</v>
      </c>
      <c r="D57" s="68"/>
      <c r="E57" s="69" t="s">
        <v>39</v>
      </c>
      <c r="F57" s="68"/>
      <c r="G57" s="68"/>
      <c r="H57" s="68"/>
      <c r="I57" s="68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9.0" customHeight="1">
      <c r="A58" s="5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9.0" customHeight="1">
      <c r="A59" s="53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9.0" customHeight="1">
      <c r="A60" s="53"/>
      <c r="B60" s="9"/>
      <c r="C60" s="9"/>
      <c r="D60" s="9"/>
      <c r="E60" s="70"/>
      <c r="F60" s="2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9.0" customHeight="1">
      <c r="A61" s="53"/>
      <c r="B61" s="9"/>
      <c r="C61" s="9"/>
      <c r="D61" s="9"/>
      <c r="E61" s="20"/>
      <c r="F61" s="20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9.0" customHeight="1">
      <c r="A62" s="53"/>
      <c r="B62" s="9"/>
      <c r="C62" s="9"/>
      <c r="D62" s="9"/>
      <c r="E62" s="20"/>
      <c r="F62" s="20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9.0" customHeight="1">
      <c r="A63" s="53"/>
      <c r="B63" s="9"/>
      <c r="C63" s="9"/>
      <c r="D63" s="9"/>
      <c r="E63" s="20"/>
      <c r="F63" s="20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9.0" customHeight="1">
      <c r="A64" s="5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9.0" customHeight="1">
      <c r="A65" s="5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9.0" customHeight="1">
      <c r="A66" s="53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9.0" customHeight="1">
      <c r="A67" s="5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9.0" customHeight="1">
      <c r="A68" s="5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9.0" customHeight="1">
      <c r="A69" s="5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9.0" customHeight="1">
      <c r="A70" s="5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9.0" customHeight="1">
      <c r="A71" s="53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9.0" customHeight="1">
      <c r="A72" s="53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9.0" customHeight="1">
      <c r="A73" s="53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9.0" customHeight="1">
      <c r="A74" s="53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9.0" customHeight="1">
      <c r="A75" s="53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9.0" customHeight="1">
      <c r="A76" s="5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9.0" customHeight="1">
      <c r="A77" s="5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9.0" customHeight="1">
      <c r="A78" s="53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9.0" customHeight="1">
      <c r="A79" s="53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9.0" customHeight="1">
      <c r="A80" s="53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9.0" customHeight="1">
      <c r="A81" s="5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9.0" customHeight="1">
      <c r="A82" s="5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9.0" customHeight="1">
      <c r="A83" s="5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9.0" customHeight="1">
      <c r="A84" s="53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9.0" customHeight="1">
      <c r="A85" s="53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9.0" customHeight="1">
      <c r="A86" s="53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9.0" customHeight="1">
      <c r="A87" s="5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9.0" customHeight="1">
      <c r="A88" s="5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9.0" customHeight="1">
      <c r="A89" s="5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9.0" customHeight="1">
      <c r="A90" s="5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9.0" customHeight="1">
      <c r="A91" s="5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9.0" customHeight="1">
      <c r="A92" s="5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9.0" customHeight="1">
      <c r="A93" s="5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9.0" customHeight="1">
      <c r="A94" s="5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9.0" customHeight="1">
      <c r="A95" s="5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9.0" customHeight="1">
      <c r="A96" s="5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9.0" customHeight="1">
      <c r="A97" s="5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9.0" customHeight="1">
      <c r="A98" s="5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9.0" customHeight="1">
      <c r="A99" s="5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9.0" customHeight="1">
      <c r="A100" s="5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9.0" customHeight="1">
      <c r="A101" s="5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9.0" customHeight="1">
      <c r="A102" s="5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9.0" customHeight="1">
      <c r="A103" s="5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9.0" customHeight="1">
      <c r="A104" s="5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9.0" customHeight="1">
      <c r="A105" s="5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9.0" customHeight="1">
      <c r="A106" s="5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9.0" customHeight="1">
      <c r="A107" s="5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9.0" customHeight="1">
      <c r="A108" s="5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9.0" customHeight="1">
      <c r="A109" s="5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9.0" customHeight="1">
      <c r="A110" s="5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9.0" customHeight="1">
      <c r="A111" s="5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9.0" customHeight="1">
      <c r="A112" s="5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9.0" customHeight="1">
      <c r="A113" s="5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9.0" customHeight="1">
      <c r="A114" s="5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9.0" customHeight="1">
      <c r="A115" s="5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9.0" customHeight="1">
      <c r="A116" s="5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9.0" customHeight="1">
      <c r="A117" s="5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9.0" customHeight="1">
      <c r="A118" s="5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9.0" customHeight="1">
      <c r="A119" s="5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9.0" customHeight="1">
      <c r="A120" s="5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9.0" customHeight="1">
      <c r="A121" s="5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9.0" customHeight="1">
      <c r="A122" s="5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9.0" customHeight="1">
      <c r="A123" s="5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9.0" customHeight="1">
      <c r="A124" s="5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9.0" customHeight="1">
      <c r="A125" s="5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9.0" customHeight="1">
      <c r="A126" s="5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9.0" customHeight="1">
      <c r="A127" s="5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9.0" customHeight="1">
      <c r="A128" s="5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9.0" customHeight="1">
      <c r="A129" s="5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9.0" customHeight="1">
      <c r="A130" s="5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9.0" customHeight="1">
      <c r="A131" s="5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9.0" customHeight="1">
      <c r="A132" s="5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9.0" customHeight="1">
      <c r="A133" s="5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9.0" customHeight="1">
      <c r="A134" s="5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9.0" customHeight="1">
      <c r="A135" s="5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9.0" customHeight="1">
      <c r="A136" s="5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9.0" customHeight="1">
      <c r="A137" s="5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9.0" customHeight="1">
      <c r="A138" s="5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9.0" customHeight="1">
      <c r="A139" s="5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9.0" customHeight="1">
      <c r="A140" s="5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9.0" customHeight="1">
      <c r="A141" s="5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9.0" customHeight="1">
      <c r="A142" s="5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9.0" customHeight="1">
      <c r="A143" s="5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9.0" customHeight="1">
      <c r="A144" s="5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9.0" customHeight="1">
      <c r="A145" s="5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9.0" customHeight="1">
      <c r="A146" s="5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9.0" customHeight="1">
      <c r="A147" s="5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9.0" customHeight="1">
      <c r="A148" s="5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9.0" customHeight="1">
      <c r="A149" s="5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9.0" customHeight="1">
      <c r="A150" s="5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9.0" customHeight="1">
      <c r="A151" s="5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9.0" customHeight="1">
      <c r="A152" s="5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9.0" customHeight="1">
      <c r="A153" s="5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9.0" customHeight="1">
      <c r="A154" s="5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9.0" customHeight="1">
      <c r="A155" s="5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9.0" customHeight="1">
      <c r="A156" s="5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9.0" customHeight="1">
      <c r="A157" s="5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9.0" customHeight="1">
      <c r="A158" s="5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9.0" customHeight="1">
      <c r="A159" s="5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9.0" customHeight="1">
      <c r="A160" s="5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9.0" customHeight="1">
      <c r="A161" s="5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9.0" customHeight="1">
      <c r="A162" s="5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9.0" customHeight="1">
      <c r="A163" s="5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9.0" customHeight="1">
      <c r="A164" s="5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9.0" customHeight="1">
      <c r="A165" s="5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9.0" customHeight="1">
      <c r="A166" s="5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9.0" customHeight="1">
      <c r="A167" s="5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9.0" customHeight="1">
      <c r="A168" s="5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9.0" customHeight="1">
      <c r="A169" s="5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9.0" customHeight="1">
      <c r="A170" s="5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9.0" customHeight="1">
      <c r="A171" s="5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9.0" customHeight="1">
      <c r="A172" s="5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9.0" customHeight="1">
      <c r="A173" s="5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9.0" customHeight="1">
      <c r="A174" s="5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9.0" customHeight="1">
      <c r="A175" s="5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9.0" customHeight="1">
      <c r="A176" s="5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9.0" customHeight="1">
      <c r="A177" s="5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9.0" customHeight="1">
      <c r="A178" s="5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9.0" customHeight="1">
      <c r="A179" s="5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9.0" customHeight="1">
      <c r="A180" s="5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9.0" customHeight="1">
      <c r="A181" s="5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9.0" customHeight="1">
      <c r="A182" s="5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9.0" customHeight="1">
      <c r="A183" s="5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9.0" customHeight="1">
      <c r="A184" s="5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9.0" customHeight="1">
      <c r="A185" s="5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9.0" customHeight="1">
      <c r="A186" s="5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9.0" customHeight="1">
      <c r="A187" s="5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9.0" customHeight="1">
      <c r="A188" s="5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9.0" customHeight="1">
      <c r="A189" s="5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9.0" customHeight="1">
      <c r="A190" s="5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9.0" customHeight="1">
      <c r="A191" s="5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9.0" customHeight="1">
      <c r="A192" s="5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9.0" customHeight="1">
      <c r="A193" s="5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9.0" customHeight="1">
      <c r="A194" s="5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9.0" customHeight="1">
      <c r="A195" s="5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9.0" customHeight="1">
      <c r="A196" s="5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9.0" customHeight="1">
      <c r="A197" s="5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9.0" customHeight="1">
      <c r="A198" s="5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9.0" customHeight="1">
      <c r="A199" s="5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9.0" customHeight="1">
      <c r="A200" s="5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9.0" customHeight="1">
      <c r="A201" s="5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9.0" customHeight="1">
      <c r="A202" s="5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9.0" customHeight="1">
      <c r="A203" s="5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9.0" customHeight="1">
      <c r="A204" s="5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9.0" customHeight="1">
      <c r="A205" s="5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9.0" customHeight="1">
      <c r="A206" s="5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9.0" customHeight="1">
      <c r="A207" s="5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9.0" customHeight="1">
      <c r="A208" s="5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9.0" customHeight="1">
      <c r="A209" s="5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9.0" customHeight="1">
      <c r="A210" s="5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9.0" customHeight="1">
      <c r="A211" s="5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9.0" customHeight="1">
      <c r="A212" s="5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9.0" customHeight="1">
      <c r="A213" s="5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9.0" customHeight="1">
      <c r="A214" s="5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9.0" customHeight="1">
      <c r="A215" s="5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9.0" customHeight="1">
      <c r="A216" s="5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9.0" customHeight="1">
      <c r="A217" s="5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9.0" customHeight="1">
      <c r="A218" s="5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9.0" customHeight="1">
      <c r="A219" s="5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9.0" customHeight="1">
      <c r="A220" s="5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9.0" customHeight="1">
      <c r="A221" s="5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9.0" customHeight="1">
      <c r="A222" s="5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9.0" customHeight="1">
      <c r="A223" s="5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9.0" customHeight="1">
      <c r="A224" s="5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9.0" customHeight="1">
      <c r="A225" s="5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9.0" customHeight="1">
      <c r="A226" s="5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9.0" customHeight="1">
      <c r="A227" s="5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9.0" customHeight="1">
      <c r="A228" s="5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9.0" customHeight="1">
      <c r="A229" s="5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9.0" customHeight="1">
      <c r="A230" s="5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9.0" customHeight="1">
      <c r="A231" s="5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9.0" customHeight="1">
      <c r="A232" s="5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9.0" customHeight="1">
      <c r="A233" s="5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9.0" customHeight="1">
      <c r="A234" s="5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9.0" customHeight="1">
      <c r="A235" s="5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9.0" customHeight="1">
      <c r="A236" s="5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9.0" customHeight="1">
      <c r="A237" s="5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9.0" customHeight="1">
      <c r="A238" s="5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9.0" customHeight="1">
      <c r="A239" s="5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9.0" customHeight="1">
      <c r="A240" s="5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9.0" customHeight="1">
      <c r="A241" s="5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9.0" customHeight="1">
      <c r="A242" s="5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9.0" customHeight="1">
      <c r="A243" s="5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9.0" customHeight="1">
      <c r="A244" s="5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9.0" customHeight="1">
      <c r="A245" s="5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9.0" customHeight="1">
      <c r="A246" s="5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9.0" customHeight="1">
      <c r="A247" s="5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9.0" customHeight="1">
      <c r="A248" s="5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9.0" customHeight="1">
      <c r="A249" s="5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9.0" customHeight="1">
      <c r="A250" s="5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9.0" customHeight="1">
      <c r="A251" s="5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9.0" customHeight="1">
      <c r="A252" s="5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9.0" customHeight="1">
      <c r="A253" s="5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9.0" customHeight="1">
      <c r="A254" s="5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9.0" customHeight="1">
      <c r="A255" s="5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9.0" customHeight="1">
      <c r="A256" s="5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9.0" customHeight="1">
      <c r="A257" s="5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9.0" customHeight="1">
      <c r="A258" s="5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9.0" customHeight="1">
      <c r="A259" s="5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9.0" customHeight="1">
      <c r="A260" s="5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9.0" customHeight="1">
      <c r="A261" s="5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9.0" customHeight="1">
      <c r="A262" s="5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9.0" customHeight="1">
      <c r="A263" s="5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9.0" customHeight="1">
      <c r="A264" s="5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9.0" customHeight="1">
      <c r="A265" s="5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9.0" customHeight="1">
      <c r="A266" s="5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9.0" customHeight="1">
      <c r="A267" s="5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9.0" customHeight="1">
      <c r="A268" s="5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9.0" customHeight="1">
      <c r="A269" s="5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9.0" customHeight="1">
      <c r="A270" s="5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9.0" customHeight="1">
      <c r="A271" s="5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9.0" customHeight="1">
      <c r="A272" s="5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9.0" customHeight="1">
      <c r="A273" s="5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9.0" customHeight="1">
      <c r="A274" s="5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9.0" customHeight="1">
      <c r="A275" s="5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9.0" customHeight="1">
      <c r="A276" s="5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9.0" customHeight="1">
      <c r="A277" s="5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9.0" customHeight="1">
      <c r="A278" s="5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9.0" customHeight="1">
      <c r="A279" s="5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9.0" customHeight="1">
      <c r="A280" s="5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9.0" customHeight="1">
      <c r="A281" s="5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9.0" customHeight="1">
      <c r="A282" s="5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9.0" customHeight="1">
      <c r="A283" s="5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9.0" customHeight="1">
      <c r="A284" s="5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9.0" customHeight="1">
      <c r="A285" s="5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9.0" customHeight="1">
      <c r="A286" s="5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9.0" customHeight="1">
      <c r="A287" s="5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9.0" customHeight="1">
      <c r="A288" s="5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9.0" customHeight="1">
      <c r="A289" s="5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9.0" customHeight="1">
      <c r="A290" s="5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9.0" customHeight="1">
      <c r="A291" s="5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9.0" customHeight="1">
      <c r="A292" s="5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9.0" customHeight="1">
      <c r="A293" s="5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9.0" customHeight="1">
      <c r="A294" s="5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9.0" customHeight="1">
      <c r="A295" s="5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9.0" customHeight="1">
      <c r="A296" s="5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9.0" customHeight="1">
      <c r="A297" s="5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9.0" customHeight="1">
      <c r="A298" s="5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9.0" customHeight="1">
      <c r="A299" s="5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9.0" customHeight="1">
      <c r="A300" s="5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9.0" customHeight="1">
      <c r="A301" s="5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9.0" customHeight="1">
      <c r="A302" s="5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9.0" customHeight="1">
      <c r="A303" s="5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9.0" customHeight="1">
      <c r="A304" s="5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9.0" customHeight="1">
      <c r="A305" s="5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9.0" customHeight="1">
      <c r="A306" s="5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9.0" customHeight="1">
      <c r="A307" s="5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9.0" customHeight="1">
      <c r="A308" s="5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9.0" customHeight="1">
      <c r="A309" s="5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9.0" customHeight="1">
      <c r="A310" s="5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9.0" customHeight="1">
      <c r="A311" s="5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9.0" customHeight="1">
      <c r="A312" s="5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9.0" customHeight="1">
      <c r="A313" s="5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9.0" customHeight="1">
      <c r="A314" s="5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9.0" customHeight="1">
      <c r="A315" s="5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9.0" customHeight="1">
      <c r="A316" s="5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9.0" customHeight="1">
      <c r="A317" s="5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9.0" customHeight="1">
      <c r="A318" s="5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9.0" customHeight="1">
      <c r="A319" s="5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9.0" customHeight="1">
      <c r="A320" s="5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9.0" customHeight="1">
      <c r="A321" s="5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9.0" customHeight="1">
      <c r="A322" s="5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9.0" customHeight="1">
      <c r="A323" s="5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9.0" customHeight="1">
      <c r="A324" s="5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9.0" customHeight="1">
      <c r="A325" s="5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9.0" customHeight="1">
      <c r="A326" s="5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9.0" customHeight="1">
      <c r="A327" s="5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9.0" customHeight="1">
      <c r="A328" s="5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9.0" customHeight="1">
      <c r="A329" s="5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9.0" customHeight="1">
      <c r="A330" s="5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9.0" customHeight="1">
      <c r="A331" s="5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9.0" customHeight="1">
      <c r="A332" s="5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9.0" customHeight="1">
      <c r="A333" s="5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9.0" customHeight="1">
      <c r="A334" s="5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9.0" customHeight="1">
      <c r="A335" s="5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9.0" customHeight="1">
      <c r="A336" s="5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9.0" customHeight="1">
      <c r="A337" s="5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9.0" customHeight="1">
      <c r="A338" s="5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9.0" customHeight="1">
      <c r="A339" s="5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9.0" customHeight="1">
      <c r="A340" s="5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9.0" customHeight="1">
      <c r="A341" s="5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9.0" customHeight="1">
      <c r="A342" s="5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9.0" customHeight="1">
      <c r="A343" s="5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9.0" customHeight="1">
      <c r="A344" s="5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9.0" customHeight="1">
      <c r="A345" s="5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9.0" customHeight="1">
      <c r="A346" s="5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9.0" customHeight="1">
      <c r="A347" s="5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9.0" customHeight="1">
      <c r="A348" s="5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9.0" customHeight="1">
      <c r="A349" s="5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9.0" customHeight="1">
      <c r="A350" s="5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9.0" customHeight="1">
      <c r="A351" s="5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9.0" customHeight="1">
      <c r="A352" s="5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9.0" customHeight="1">
      <c r="A353" s="5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9.0" customHeight="1">
      <c r="A354" s="5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9.0" customHeight="1">
      <c r="A355" s="5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9.0" customHeight="1">
      <c r="A356" s="5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9.0" customHeight="1">
      <c r="A357" s="5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9.0" customHeight="1">
      <c r="A358" s="5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9.0" customHeight="1">
      <c r="A359" s="5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9.0" customHeight="1">
      <c r="A360" s="5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9.0" customHeight="1">
      <c r="A361" s="5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9.0" customHeight="1">
      <c r="A362" s="5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9.0" customHeight="1">
      <c r="A363" s="5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9.0" customHeight="1">
      <c r="A364" s="5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9.0" customHeight="1">
      <c r="A365" s="5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9.0" customHeight="1">
      <c r="A366" s="5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9.0" customHeight="1">
      <c r="A367" s="5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9.0" customHeight="1">
      <c r="A368" s="5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9.0" customHeight="1">
      <c r="A369" s="5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9.0" customHeight="1">
      <c r="A370" s="5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9.0" customHeight="1">
      <c r="A371" s="5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9.0" customHeight="1">
      <c r="A372" s="5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9.0" customHeight="1">
      <c r="A373" s="5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9.0" customHeight="1">
      <c r="A374" s="5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9.0" customHeight="1">
      <c r="A375" s="5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9.0" customHeight="1">
      <c r="A376" s="5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9.0" customHeight="1">
      <c r="A377" s="5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9.0" customHeight="1">
      <c r="A378" s="5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9.0" customHeight="1">
      <c r="A379" s="5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9.0" customHeight="1">
      <c r="A380" s="5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9.0" customHeight="1">
      <c r="A381" s="5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9.0" customHeight="1">
      <c r="A382" s="5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9.0" customHeight="1">
      <c r="A383" s="5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9.0" customHeight="1">
      <c r="A384" s="5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9.0" customHeight="1">
      <c r="A385" s="5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9.0" customHeight="1">
      <c r="A386" s="5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9.0" customHeight="1">
      <c r="A387" s="5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9.0" customHeight="1">
      <c r="A388" s="5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9.0" customHeight="1">
      <c r="A389" s="5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9.0" customHeight="1">
      <c r="A390" s="5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9.0" customHeight="1">
      <c r="A391" s="5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9.0" customHeight="1">
      <c r="A392" s="5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9.0" customHeight="1">
      <c r="A393" s="5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9.0" customHeight="1">
      <c r="A394" s="5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9.0" customHeight="1">
      <c r="A395" s="5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9.0" customHeight="1">
      <c r="A396" s="5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9.0" customHeight="1">
      <c r="A397" s="5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9.0" customHeight="1">
      <c r="A398" s="5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9.0" customHeight="1">
      <c r="A399" s="5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9.0" customHeight="1">
      <c r="A400" s="5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9.0" customHeight="1">
      <c r="A401" s="5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9.0" customHeight="1">
      <c r="A402" s="5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9.0" customHeight="1">
      <c r="A403" s="5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9.0" customHeight="1">
      <c r="A404" s="5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9.0" customHeight="1">
      <c r="A405" s="5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9.0" customHeight="1">
      <c r="A406" s="5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9.0" customHeight="1">
      <c r="A407" s="5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9.0" customHeight="1">
      <c r="A408" s="5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9.0" customHeight="1">
      <c r="A409" s="5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9.0" customHeight="1">
      <c r="A410" s="5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9.0" customHeight="1">
      <c r="A411" s="5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9.0" customHeight="1">
      <c r="A412" s="5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9.0" customHeight="1">
      <c r="A413" s="5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9.0" customHeight="1">
      <c r="A414" s="5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9.0" customHeight="1">
      <c r="A415" s="5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9.0" customHeight="1">
      <c r="A416" s="5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9.0" customHeight="1">
      <c r="A417" s="5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9.0" customHeight="1">
      <c r="A418" s="5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9.0" customHeight="1">
      <c r="A419" s="5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9.0" customHeight="1">
      <c r="A420" s="5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9.0" customHeight="1">
      <c r="A421" s="5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9.0" customHeight="1">
      <c r="A422" s="5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9.0" customHeight="1">
      <c r="A423" s="5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9.0" customHeight="1">
      <c r="A424" s="5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9.0" customHeight="1">
      <c r="A425" s="5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9.0" customHeight="1">
      <c r="A426" s="5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9.0" customHeight="1">
      <c r="A427" s="5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9.0" customHeight="1">
      <c r="A428" s="5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9.0" customHeight="1">
      <c r="A429" s="5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9.0" customHeight="1">
      <c r="A430" s="5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9.0" customHeight="1">
      <c r="A431" s="5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9.0" customHeight="1">
      <c r="A432" s="5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9.0" customHeight="1">
      <c r="A433" s="5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9.0" customHeight="1">
      <c r="A434" s="5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9.0" customHeight="1">
      <c r="A435" s="5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9.0" customHeight="1">
      <c r="A436" s="5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9.0" customHeight="1">
      <c r="A437" s="5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9.0" customHeight="1">
      <c r="A438" s="5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9.0" customHeight="1">
      <c r="A439" s="5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9.0" customHeight="1">
      <c r="A440" s="5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9.0" customHeight="1">
      <c r="A441" s="5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9.0" customHeight="1">
      <c r="A442" s="5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9.0" customHeight="1">
      <c r="A443" s="5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9.0" customHeight="1">
      <c r="A444" s="5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9.0" customHeight="1">
      <c r="A445" s="5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9.0" customHeight="1">
      <c r="A446" s="5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9.0" customHeight="1">
      <c r="A447" s="5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9.0" customHeight="1">
      <c r="A448" s="5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9.0" customHeight="1">
      <c r="A449" s="5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9.0" customHeight="1">
      <c r="A450" s="5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9.0" customHeight="1">
      <c r="A451" s="5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9.0" customHeight="1">
      <c r="A452" s="5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9.0" customHeight="1">
      <c r="A453" s="5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9.0" customHeight="1">
      <c r="A454" s="5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9.0" customHeight="1">
      <c r="A455" s="5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9.0" customHeight="1">
      <c r="A456" s="5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9.0" customHeight="1">
      <c r="A457" s="5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9.0" customHeight="1">
      <c r="A458" s="5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9.0" customHeight="1">
      <c r="A459" s="5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9.0" customHeight="1">
      <c r="A460" s="5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9.0" customHeight="1">
      <c r="A461" s="5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9.0" customHeight="1">
      <c r="A462" s="5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9.0" customHeight="1">
      <c r="A463" s="5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9.0" customHeight="1">
      <c r="A464" s="5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9.0" customHeight="1">
      <c r="A465" s="5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9.0" customHeight="1">
      <c r="A466" s="5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9.0" customHeight="1">
      <c r="A467" s="5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9.0" customHeight="1">
      <c r="A468" s="5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9.0" customHeight="1">
      <c r="A469" s="5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9.0" customHeight="1">
      <c r="A470" s="5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9.0" customHeight="1">
      <c r="A471" s="5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9.0" customHeight="1">
      <c r="A472" s="5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9.0" customHeight="1">
      <c r="A473" s="5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9.0" customHeight="1">
      <c r="A474" s="5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9.0" customHeight="1">
      <c r="A475" s="5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9.0" customHeight="1">
      <c r="A476" s="5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9.0" customHeight="1">
      <c r="A477" s="5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9.0" customHeight="1">
      <c r="A478" s="5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9.0" customHeight="1">
      <c r="A479" s="5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9.0" customHeight="1">
      <c r="A480" s="5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9.0" customHeight="1">
      <c r="A481" s="5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9.0" customHeight="1">
      <c r="A482" s="5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9.0" customHeight="1">
      <c r="A483" s="5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9.0" customHeight="1">
      <c r="A484" s="5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9.0" customHeight="1">
      <c r="A485" s="5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9.0" customHeight="1">
      <c r="A486" s="5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9.0" customHeight="1">
      <c r="A487" s="5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9.0" customHeight="1">
      <c r="A488" s="5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9.0" customHeight="1">
      <c r="A489" s="5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9.0" customHeight="1">
      <c r="A490" s="5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9.0" customHeight="1">
      <c r="A491" s="5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9.0" customHeight="1">
      <c r="A492" s="5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9.0" customHeight="1">
      <c r="A493" s="5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9.0" customHeight="1">
      <c r="A494" s="5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9.0" customHeight="1">
      <c r="A495" s="5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9.0" customHeight="1">
      <c r="A496" s="5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9.0" customHeight="1">
      <c r="A497" s="5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9.0" customHeight="1">
      <c r="A498" s="5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9.0" customHeight="1">
      <c r="A499" s="5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9.0" customHeight="1">
      <c r="A500" s="5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9.0" customHeight="1">
      <c r="A501" s="5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9.0" customHeight="1">
      <c r="A502" s="5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9.0" customHeight="1">
      <c r="A503" s="5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9.0" customHeight="1">
      <c r="A504" s="5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9.0" customHeight="1">
      <c r="A505" s="5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9.0" customHeight="1">
      <c r="A506" s="5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9.0" customHeight="1">
      <c r="A507" s="5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9.0" customHeight="1">
      <c r="A508" s="5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9.0" customHeight="1">
      <c r="A509" s="5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9.0" customHeight="1">
      <c r="A510" s="5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9.0" customHeight="1">
      <c r="A511" s="5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9.0" customHeight="1">
      <c r="A512" s="5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9.0" customHeight="1">
      <c r="A513" s="5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9.0" customHeight="1">
      <c r="A514" s="5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9.0" customHeight="1">
      <c r="A515" s="5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9.0" customHeight="1">
      <c r="A516" s="5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9.0" customHeight="1">
      <c r="A517" s="5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9.0" customHeight="1">
      <c r="A518" s="5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9.0" customHeight="1">
      <c r="A519" s="5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9.0" customHeight="1">
      <c r="A520" s="5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9.0" customHeight="1">
      <c r="A521" s="5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9.0" customHeight="1">
      <c r="A522" s="5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9.0" customHeight="1">
      <c r="A523" s="5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9.0" customHeight="1">
      <c r="A524" s="5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9.0" customHeight="1">
      <c r="A525" s="5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9.0" customHeight="1">
      <c r="A526" s="5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9.0" customHeight="1">
      <c r="A527" s="5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9.0" customHeight="1">
      <c r="A528" s="5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9.0" customHeight="1">
      <c r="A529" s="5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9.0" customHeight="1">
      <c r="A530" s="5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9.0" customHeight="1">
      <c r="A531" s="5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9.0" customHeight="1">
      <c r="A532" s="5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9.0" customHeight="1">
      <c r="A533" s="5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9.0" customHeight="1">
      <c r="A534" s="5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9.0" customHeight="1">
      <c r="A535" s="5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9.0" customHeight="1">
      <c r="A536" s="5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9.0" customHeight="1">
      <c r="A537" s="5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9.0" customHeight="1">
      <c r="A538" s="5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9.0" customHeight="1">
      <c r="A539" s="5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9.0" customHeight="1">
      <c r="A540" s="5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9.0" customHeight="1">
      <c r="A541" s="5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9.0" customHeight="1">
      <c r="A542" s="5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9.0" customHeight="1">
      <c r="A543" s="5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9.0" customHeight="1">
      <c r="A544" s="5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9.0" customHeight="1">
      <c r="A545" s="5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9.0" customHeight="1">
      <c r="A546" s="5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9.0" customHeight="1">
      <c r="A547" s="5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9.0" customHeight="1">
      <c r="A548" s="5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9.0" customHeight="1">
      <c r="A549" s="5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9.0" customHeight="1">
      <c r="A550" s="5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9.0" customHeight="1">
      <c r="A551" s="5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9.0" customHeight="1">
      <c r="A552" s="5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9.0" customHeight="1">
      <c r="A553" s="5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9.0" customHeight="1">
      <c r="A554" s="5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9.0" customHeight="1">
      <c r="A555" s="5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9.0" customHeight="1">
      <c r="A556" s="5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9.0" customHeight="1">
      <c r="A557" s="5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9.0" customHeight="1">
      <c r="A558" s="5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9.0" customHeight="1">
      <c r="A559" s="5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9.0" customHeight="1">
      <c r="A560" s="5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9.0" customHeight="1">
      <c r="A561" s="5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9.0" customHeight="1">
      <c r="A562" s="5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9.0" customHeight="1">
      <c r="A563" s="5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9.0" customHeight="1">
      <c r="A564" s="5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9.0" customHeight="1">
      <c r="A565" s="5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9.0" customHeight="1">
      <c r="A566" s="5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9.0" customHeight="1">
      <c r="A567" s="5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9.0" customHeight="1">
      <c r="A568" s="5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9.0" customHeight="1">
      <c r="A569" s="5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9.0" customHeight="1">
      <c r="A570" s="5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9.0" customHeight="1">
      <c r="A571" s="5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9.0" customHeight="1">
      <c r="A572" s="5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9.0" customHeight="1">
      <c r="A573" s="5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9.0" customHeight="1">
      <c r="A574" s="5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9.0" customHeight="1">
      <c r="A575" s="5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9.0" customHeight="1">
      <c r="A576" s="5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9.0" customHeight="1">
      <c r="A577" s="5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9.0" customHeight="1">
      <c r="A578" s="5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9.0" customHeight="1">
      <c r="A579" s="5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9.0" customHeight="1">
      <c r="A580" s="5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9.0" customHeight="1">
      <c r="A581" s="5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9.0" customHeight="1">
      <c r="A582" s="5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9.0" customHeight="1">
      <c r="A583" s="5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9.0" customHeight="1">
      <c r="A584" s="5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9.0" customHeight="1">
      <c r="A585" s="5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9.0" customHeight="1">
      <c r="A586" s="5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9.0" customHeight="1">
      <c r="A587" s="5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9.0" customHeight="1">
      <c r="A588" s="5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9.0" customHeight="1">
      <c r="A589" s="5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9.0" customHeight="1">
      <c r="A590" s="5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9.0" customHeight="1">
      <c r="A591" s="5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9.0" customHeight="1">
      <c r="A592" s="5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9.0" customHeight="1">
      <c r="A593" s="5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9.0" customHeight="1">
      <c r="A594" s="5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9.0" customHeight="1">
      <c r="A595" s="5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9.0" customHeight="1">
      <c r="A596" s="5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9.0" customHeight="1">
      <c r="A597" s="5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9.0" customHeight="1">
      <c r="A598" s="5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9.0" customHeight="1">
      <c r="A599" s="5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9.0" customHeight="1">
      <c r="A600" s="5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9.0" customHeight="1">
      <c r="A601" s="5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9.0" customHeight="1">
      <c r="A602" s="5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9.0" customHeight="1">
      <c r="A603" s="5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9.0" customHeight="1">
      <c r="A604" s="5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9.0" customHeight="1">
      <c r="A605" s="5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9.0" customHeight="1">
      <c r="A606" s="5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9.0" customHeight="1">
      <c r="A607" s="5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9.0" customHeight="1">
      <c r="A608" s="5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9.0" customHeight="1">
      <c r="A609" s="5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9.0" customHeight="1">
      <c r="A610" s="5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9.0" customHeight="1">
      <c r="A611" s="5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9.0" customHeight="1">
      <c r="A612" s="5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9.0" customHeight="1">
      <c r="A613" s="5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9.0" customHeight="1">
      <c r="A614" s="5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9.0" customHeight="1">
      <c r="A615" s="5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9.0" customHeight="1">
      <c r="A616" s="5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9.0" customHeight="1">
      <c r="A617" s="5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9.0" customHeight="1">
      <c r="A618" s="5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9.0" customHeight="1">
      <c r="A619" s="5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9.0" customHeight="1">
      <c r="A620" s="5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9.0" customHeight="1">
      <c r="A621" s="5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9.0" customHeight="1">
      <c r="A622" s="5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9.0" customHeight="1">
      <c r="A623" s="5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9.0" customHeight="1">
      <c r="A624" s="5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9.0" customHeight="1">
      <c r="A625" s="5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9.0" customHeight="1">
      <c r="A626" s="5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9.0" customHeight="1">
      <c r="A627" s="5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9.0" customHeight="1">
      <c r="A628" s="5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9.0" customHeight="1">
      <c r="A629" s="5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9.0" customHeight="1">
      <c r="A630" s="5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9.0" customHeight="1">
      <c r="A631" s="5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9.0" customHeight="1">
      <c r="A632" s="5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9.0" customHeight="1">
      <c r="A633" s="5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9.0" customHeight="1">
      <c r="A634" s="5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9.0" customHeight="1">
      <c r="A635" s="5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9.0" customHeight="1">
      <c r="A636" s="5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9.0" customHeight="1">
      <c r="A637" s="5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9.0" customHeight="1">
      <c r="A638" s="5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9.0" customHeight="1">
      <c r="A639" s="5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9.0" customHeight="1">
      <c r="A640" s="5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9.0" customHeight="1">
      <c r="A641" s="5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9.0" customHeight="1">
      <c r="A642" s="5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9.0" customHeight="1">
      <c r="A643" s="5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9.0" customHeight="1">
      <c r="A644" s="5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9.0" customHeight="1">
      <c r="A645" s="5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9.0" customHeight="1">
      <c r="A646" s="5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9.0" customHeight="1">
      <c r="A647" s="5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9.0" customHeight="1">
      <c r="A648" s="5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9.0" customHeight="1">
      <c r="A649" s="5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9.0" customHeight="1">
      <c r="A650" s="5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9.0" customHeight="1">
      <c r="A651" s="5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9.0" customHeight="1">
      <c r="A652" s="5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9.0" customHeight="1">
      <c r="A653" s="5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9.0" customHeight="1">
      <c r="A654" s="5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9.0" customHeight="1">
      <c r="A655" s="5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9.0" customHeight="1">
      <c r="A656" s="5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9.0" customHeight="1">
      <c r="A657" s="5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9.0" customHeight="1">
      <c r="A658" s="5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9.0" customHeight="1">
      <c r="A659" s="5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9.0" customHeight="1">
      <c r="A660" s="5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9.0" customHeight="1">
      <c r="A661" s="5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9.0" customHeight="1">
      <c r="A662" s="5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9.0" customHeight="1">
      <c r="A663" s="5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9.0" customHeight="1">
      <c r="A664" s="5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9.0" customHeight="1">
      <c r="A665" s="5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9.0" customHeight="1">
      <c r="A666" s="5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9.0" customHeight="1">
      <c r="A667" s="5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9.0" customHeight="1">
      <c r="A668" s="5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9.0" customHeight="1">
      <c r="A669" s="5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9.0" customHeight="1">
      <c r="A670" s="5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9.0" customHeight="1">
      <c r="A671" s="5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9.0" customHeight="1">
      <c r="A672" s="5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9.0" customHeight="1">
      <c r="A673" s="5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9.0" customHeight="1">
      <c r="A674" s="5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9.0" customHeight="1">
      <c r="A675" s="5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9.0" customHeight="1">
      <c r="A676" s="5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9.0" customHeight="1">
      <c r="A677" s="5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9.0" customHeight="1">
      <c r="A678" s="5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9.0" customHeight="1">
      <c r="A679" s="5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9.0" customHeight="1">
      <c r="A680" s="5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9.0" customHeight="1">
      <c r="A681" s="5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9.0" customHeight="1">
      <c r="A682" s="5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9.0" customHeight="1">
      <c r="A683" s="5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9.0" customHeight="1">
      <c r="A684" s="5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9.0" customHeight="1">
      <c r="A685" s="5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9.0" customHeight="1">
      <c r="A686" s="5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9.0" customHeight="1">
      <c r="A687" s="5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9.0" customHeight="1">
      <c r="A688" s="5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9.0" customHeight="1">
      <c r="A689" s="5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9.0" customHeight="1">
      <c r="A690" s="5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9.0" customHeight="1">
      <c r="A691" s="5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9.0" customHeight="1">
      <c r="A692" s="5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9.0" customHeight="1">
      <c r="A693" s="5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9.0" customHeight="1">
      <c r="A694" s="5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9.0" customHeight="1">
      <c r="A695" s="5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9.0" customHeight="1">
      <c r="A696" s="5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9.0" customHeight="1">
      <c r="A697" s="5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9.0" customHeight="1">
      <c r="A698" s="5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9.0" customHeight="1">
      <c r="A699" s="5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9.0" customHeight="1">
      <c r="A700" s="5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9.0" customHeight="1">
      <c r="A701" s="5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9.0" customHeight="1">
      <c r="A702" s="5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9.0" customHeight="1">
      <c r="A703" s="5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9.0" customHeight="1">
      <c r="A704" s="5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9.0" customHeight="1">
      <c r="A705" s="5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9.0" customHeight="1">
      <c r="A706" s="5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9.0" customHeight="1">
      <c r="A707" s="5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9.0" customHeight="1">
      <c r="A708" s="5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9.0" customHeight="1">
      <c r="A709" s="5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9.0" customHeight="1">
      <c r="A710" s="5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9.0" customHeight="1">
      <c r="A711" s="5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9.0" customHeight="1">
      <c r="A712" s="5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9.0" customHeight="1">
      <c r="A713" s="5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9.0" customHeight="1">
      <c r="A714" s="5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9.0" customHeight="1">
      <c r="A715" s="5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9.0" customHeight="1">
      <c r="A716" s="5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9.0" customHeight="1">
      <c r="A717" s="5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9.0" customHeight="1">
      <c r="A718" s="5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9.0" customHeight="1">
      <c r="A719" s="5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9.0" customHeight="1">
      <c r="A720" s="5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9.0" customHeight="1">
      <c r="A721" s="5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9.0" customHeight="1">
      <c r="A722" s="5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9.0" customHeight="1">
      <c r="A723" s="5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9.0" customHeight="1">
      <c r="A724" s="5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9.0" customHeight="1">
      <c r="A725" s="5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9.0" customHeight="1">
      <c r="A726" s="5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9.0" customHeight="1">
      <c r="A727" s="5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9.0" customHeight="1">
      <c r="A728" s="5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9.0" customHeight="1">
      <c r="A729" s="5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9.0" customHeight="1">
      <c r="A730" s="5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9.0" customHeight="1">
      <c r="A731" s="5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9.0" customHeight="1">
      <c r="A732" s="5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9.0" customHeight="1">
      <c r="A733" s="5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9.0" customHeight="1">
      <c r="A734" s="5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9.0" customHeight="1">
      <c r="A735" s="5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9.0" customHeight="1">
      <c r="A736" s="5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9.0" customHeight="1">
      <c r="A737" s="5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9.0" customHeight="1">
      <c r="A738" s="5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9.0" customHeight="1">
      <c r="A739" s="5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9.0" customHeight="1">
      <c r="A740" s="5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9.0" customHeight="1">
      <c r="A741" s="5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9.0" customHeight="1">
      <c r="A742" s="5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9.0" customHeight="1">
      <c r="A743" s="5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9.0" customHeight="1">
      <c r="A744" s="5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9.0" customHeight="1">
      <c r="A745" s="5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9.0" customHeight="1">
      <c r="A746" s="5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9.0" customHeight="1">
      <c r="A747" s="5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9.0" customHeight="1">
      <c r="A748" s="5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9.0" customHeight="1">
      <c r="A749" s="5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9.0" customHeight="1">
      <c r="A750" s="5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9.0" customHeight="1">
      <c r="A751" s="5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9.0" customHeight="1">
      <c r="A752" s="5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9.0" customHeight="1">
      <c r="A753" s="5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9.0" customHeight="1">
      <c r="A754" s="5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9.0" customHeight="1">
      <c r="A755" s="5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9.0" customHeight="1">
      <c r="A756" s="5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9.0" customHeight="1">
      <c r="A757" s="5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9.0" customHeight="1">
      <c r="A758" s="5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9.0" customHeight="1">
      <c r="A759" s="5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9.0" customHeight="1">
      <c r="A760" s="5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9.0" customHeight="1">
      <c r="A761" s="5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9.0" customHeight="1">
      <c r="A762" s="5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9.0" customHeight="1">
      <c r="A763" s="5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9.0" customHeight="1">
      <c r="A764" s="5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9.0" customHeight="1">
      <c r="A765" s="5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9.0" customHeight="1">
      <c r="A766" s="5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9.0" customHeight="1">
      <c r="A767" s="5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9.0" customHeight="1">
      <c r="A768" s="5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9.0" customHeight="1">
      <c r="A769" s="5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9.0" customHeight="1">
      <c r="A770" s="5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9.0" customHeight="1">
      <c r="A771" s="5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9.0" customHeight="1">
      <c r="A772" s="5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9.0" customHeight="1">
      <c r="A773" s="5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9.0" customHeight="1">
      <c r="A774" s="5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9.0" customHeight="1">
      <c r="A775" s="5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9.0" customHeight="1">
      <c r="A776" s="5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9.0" customHeight="1">
      <c r="A777" s="5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9.0" customHeight="1">
      <c r="A778" s="5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9.0" customHeight="1">
      <c r="A779" s="5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9.0" customHeight="1">
      <c r="A780" s="5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9.0" customHeight="1">
      <c r="A781" s="5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9.0" customHeight="1">
      <c r="A782" s="5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9.0" customHeight="1">
      <c r="A783" s="5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9.0" customHeight="1">
      <c r="A784" s="5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9.0" customHeight="1">
      <c r="A785" s="5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9.0" customHeight="1">
      <c r="A786" s="5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9.0" customHeight="1">
      <c r="A787" s="5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9.0" customHeight="1">
      <c r="A788" s="5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9.0" customHeight="1">
      <c r="A789" s="5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9.0" customHeight="1">
      <c r="A790" s="5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9.0" customHeight="1">
      <c r="A791" s="5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9.0" customHeight="1">
      <c r="A792" s="5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9.0" customHeight="1">
      <c r="A793" s="5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9.0" customHeight="1">
      <c r="A794" s="5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9.0" customHeight="1">
      <c r="A795" s="5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9.0" customHeight="1">
      <c r="A796" s="5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9.0" customHeight="1">
      <c r="A797" s="5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9.0" customHeight="1">
      <c r="A798" s="5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9.0" customHeight="1">
      <c r="A799" s="5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9.0" customHeight="1">
      <c r="A800" s="5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9.0" customHeight="1">
      <c r="A801" s="5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9.0" customHeight="1">
      <c r="A802" s="5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9.0" customHeight="1">
      <c r="A803" s="5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9.0" customHeight="1">
      <c r="A804" s="5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9.0" customHeight="1">
      <c r="A805" s="5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9.0" customHeight="1">
      <c r="A806" s="5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9.0" customHeight="1">
      <c r="A807" s="5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9.0" customHeight="1">
      <c r="A808" s="5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9.0" customHeight="1">
      <c r="A809" s="5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9.0" customHeight="1">
      <c r="A810" s="5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9.0" customHeight="1">
      <c r="A811" s="5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9.0" customHeight="1">
      <c r="A812" s="5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9.0" customHeight="1">
      <c r="A813" s="5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9.0" customHeight="1">
      <c r="A814" s="5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9.0" customHeight="1">
      <c r="A815" s="5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9.0" customHeight="1">
      <c r="A816" s="5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9.0" customHeight="1">
      <c r="A817" s="5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9.0" customHeight="1">
      <c r="A818" s="5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9.0" customHeight="1">
      <c r="A819" s="5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9.0" customHeight="1">
      <c r="A820" s="5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9.0" customHeight="1">
      <c r="A821" s="5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9.0" customHeight="1">
      <c r="A822" s="5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9.0" customHeight="1">
      <c r="A823" s="5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9.0" customHeight="1">
      <c r="A824" s="5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9.0" customHeight="1">
      <c r="A825" s="5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9.0" customHeight="1">
      <c r="A826" s="5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9.0" customHeight="1">
      <c r="A827" s="5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9.0" customHeight="1">
      <c r="A828" s="5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9.0" customHeight="1">
      <c r="A829" s="5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9.0" customHeight="1">
      <c r="A830" s="5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9.0" customHeight="1">
      <c r="A831" s="5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9.0" customHeight="1">
      <c r="A832" s="5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9.0" customHeight="1">
      <c r="A833" s="5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9.0" customHeight="1">
      <c r="A834" s="5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9.0" customHeight="1">
      <c r="A835" s="5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9.0" customHeight="1">
      <c r="A836" s="5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9.0" customHeight="1">
      <c r="A837" s="5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9.0" customHeight="1">
      <c r="A838" s="5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9.0" customHeight="1">
      <c r="A839" s="5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9.0" customHeight="1">
      <c r="A840" s="5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9.0" customHeight="1">
      <c r="A841" s="5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9.0" customHeight="1">
      <c r="A842" s="5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9.0" customHeight="1">
      <c r="A843" s="5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9.0" customHeight="1">
      <c r="A844" s="5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9.0" customHeight="1">
      <c r="A845" s="5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9.0" customHeight="1">
      <c r="A846" s="5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9.0" customHeight="1">
      <c r="A847" s="5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9.0" customHeight="1">
      <c r="A848" s="5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9.0" customHeight="1">
      <c r="A849" s="5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9.0" customHeight="1">
      <c r="A850" s="5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9.0" customHeight="1">
      <c r="A851" s="5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9.0" customHeight="1">
      <c r="A852" s="5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9.0" customHeight="1">
      <c r="A853" s="5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9.0" customHeight="1">
      <c r="A854" s="5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9.0" customHeight="1">
      <c r="A855" s="5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9.0" customHeight="1">
      <c r="A856" s="5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9.0" customHeight="1">
      <c r="A857" s="5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9.0" customHeight="1">
      <c r="A858" s="5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9.0" customHeight="1">
      <c r="A859" s="5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9.0" customHeight="1">
      <c r="A860" s="5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9.0" customHeight="1">
      <c r="A861" s="5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9.0" customHeight="1">
      <c r="A862" s="5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9.0" customHeight="1">
      <c r="A863" s="5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9.0" customHeight="1">
      <c r="A864" s="5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9.0" customHeight="1">
      <c r="A865" s="5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9.0" customHeight="1">
      <c r="A866" s="5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9.0" customHeight="1">
      <c r="A867" s="5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9.0" customHeight="1">
      <c r="A868" s="5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9.0" customHeight="1">
      <c r="A869" s="5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9.0" customHeight="1">
      <c r="A870" s="5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9.0" customHeight="1">
      <c r="A871" s="5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9.0" customHeight="1">
      <c r="A872" s="5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9.0" customHeight="1">
      <c r="A873" s="5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9.0" customHeight="1">
      <c r="A874" s="5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9.0" customHeight="1">
      <c r="A875" s="5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9.0" customHeight="1">
      <c r="A876" s="5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9.0" customHeight="1">
      <c r="A877" s="5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9.0" customHeight="1">
      <c r="A878" s="5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9.0" customHeight="1">
      <c r="A879" s="5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9.0" customHeight="1">
      <c r="A880" s="5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9.0" customHeight="1">
      <c r="A881" s="5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9.0" customHeight="1">
      <c r="A882" s="5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9.0" customHeight="1">
      <c r="A883" s="5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9.0" customHeight="1">
      <c r="A884" s="5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9.0" customHeight="1">
      <c r="A885" s="5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9.0" customHeight="1">
      <c r="A886" s="5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9.0" customHeight="1">
      <c r="A887" s="5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9.0" customHeight="1">
      <c r="A888" s="5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9.0" customHeight="1">
      <c r="A889" s="5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9.0" customHeight="1">
      <c r="A890" s="5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9.0" customHeight="1">
      <c r="A891" s="5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9.0" customHeight="1">
      <c r="A892" s="5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9.0" customHeight="1">
      <c r="A893" s="5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9.0" customHeight="1">
      <c r="A894" s="5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9.0" customHeight="1">
      <c r="A895" s="5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9.0" customHeight="1">
      <c r="A896" s="5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9.0" customHeight="1">
      <c r="A897" s="5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9.0" customHeight="1">
      <c r="A898" s="5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9.0" customHeight="1">
      <c r="A899" s="5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9.0" customHeight="1">
      <c r="A900" s="5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9.0" customHeight="1">
      <c r="A901" s="5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9.0" customHeight="1">
      <c r="A902" s="5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9.0" customHeight="1">
      <c r="A903" s="5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9.0" customHeight="1">
      <c r="A904" s="5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9.0" customHeight="1">
      <c r="A905" s="5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9.0" customHeight="1">
      <c r="A906" s="5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9.0" customHeight="1">
      <c r="A907" s="5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9.0" customHeight="1">
      <c r="A908" s="5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9.0" customHeight="1">
      <c r="A909" s="5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9.0" customHeight="1">
      <c r="A910" s="5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9.0" customHeight="1">
      <c r="A911" s="5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9.0" customHeight="1">
      <c r="A912" s="5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9.0" customHeight="1">
      <c r="A913" s="5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9.0" customHeight="1">
      <c r="A914" s="5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9.0" customHeight="1">
      <c r="A915" s="5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9.0" customHeight="1">
      <c r="A916" s="5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9.0" customHeight="1">
      <c r="A917" s="5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9.0" customHeight="1">
      <c r="A918" s="5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9.0" customHeight="1">
      <c r="A919" s="5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9.0" customHeight="1">
      <c r="A920" s="5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9.0" customHeight="1">
      <c r="A921" s="5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9.0" customHeight="1">
      <c r="A922" s="5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9.0" customHeight="1">
      <c r="A923" s="5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9.0" customHeight="1">
      <c r="A924" s="5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9.0" customHeight="1">
      <c r="A925" s="5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9.0" customHeight="1">
      <c r="A926" s="5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9.0" customHeight="1">
      <c r="A927" s="5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9.0" customHeight="1">
      <c r="A928" s="5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9.0" customHeight="1">
      <c r="A929" s="5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9.0" customHeight="1">
      <c r="A930" s="5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9.0" customHeight="1">
      <c r="A931" s="5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9.0" customHeight="1">
      <c r="A932" s="5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9.0" customHeight="1">
      <c r="A933" s="5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9.0" customHeight="1">
      <c r="A934" s="5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9.0" customHeight="1">
      <c r="A935" s="5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9.0" customHeight="1">
      <c r="A936" s="5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9.0" customHeight="1">
      <c r="A937" s="5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9.0" customHeight="1">
      <c r="A938" s="5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9.0" customHeight="1">
      <c r="A939" s="5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9.0" customHeight="1">
      <c r="A940" s="5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9.0" customHeight="1">
      <c r="A941" s="5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9.0" customHeight="1">
      <c r="A942" s="5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9.0" customHeight="1">
      <c r="A943" s="5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9.0" customHeight="1">
      <c r="A944" s="5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9.0" customHeight="1">
      <c r="A945" s="5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9.0" customHeight="1">
      <c r="A946" s="5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9.0" customHeight="1">
      <c r="A947" s="5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9.0" customHeight="1">
      <c r="A948" s="5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9.0" customHeight="1">
      <c r="A949" s="5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9.0" customHeight="1">
      <c r="A950" s="5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9.0" customHeight="1">
      <c r="A951" s="5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9.0" customHeight="1">
      <c r="A952" s="5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9.0" customHeight="1">
      <c r="A953" s="5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9.0" customHeight="1">
      <c r="A954" s="5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9.0" customHeight="1">
      <c r="A955" s="5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9.0" customHeight="1">
      <c r="A956" s="5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9.0" customHeight="1">
      <c r="A957" s="5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9.0" customHeight="1">
      <c r="A958" s="5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9.0" customHeight="1">
      <c r="A959" s="5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9.0" customHeight="1">
      <c r="A960" s="5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9.0" customHeight="1">
      <c r="A961" s="5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9.0" customHeight="1">
      <c r="A962" s="5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9.0" customHeight="1">
      <c r="A963" s="5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9.0" customHeight="1">
      <c r="A964" s="5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9.0" customHeight="1">
      <c r="A965" s="5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9.0" customHeight="1">
      <c r="A966" s="5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9.0" customHeight="1">
      <c r="A967" s="5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9.0" customHeight="1">
      <c r="A968" s="5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9.0" customHeight="1">
      <c r="A969" s="5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9.0" customHeight="1">
      <c r="A970" s="5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9.0" customHeight="1">
      <c r="A971" s="5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9.0" customHeight="1">
      <c r="A972" s="5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9.0" customHeight="1">
      <c r="A973" s="5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9.0" customHeight="1">
      <c r="A974" s="5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9.0" customHeight="1">
      <c r="A975" s="5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9.0" customHeight="1">
      <c r="A976" s="5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9.0" customHeight="1">
      <c r="A977" s="5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9.0" customHeight="1">
      <c r="A978" s="5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9.0" customHeight="1">
      <c r="A979" s="5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9.0" customHeight="1">
      <c r="A980" s="5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9.0" customHeight="1">
      <c r="A981" s="5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9.0" customHeight="1">
      <c r="A982" s="5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9.0" customHeight="1">
      <c r="A983" s="5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9.0" customHeight="1">
      <c r="A984" s="5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9.0" customHeight="1">
      <c r="A985" s="5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9.0" customHeight="1">
      <c r="A986" s="5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9.0" customHeight="1">
      <c r="A987" s="5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9.0" customHeight="1">
      <c r="A988" s="5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9.0" customHeight="1">
      <c r="A989" s="5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9.0" customHeight="1">
      <c r="A990" s="5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9.0" customHeight="1">
      <c r="A991" s="5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9.0" customHeight="1">
      <c r="A992" s="5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9.0" customHeight="1">
      <c r="A993" s="5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9.0" customHeight="1">
      <c r="A994" s="5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9.0" customHeight="1">
      <c r="A995" s="5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9.0" customHeight="1">
      <c r="A996" s="5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9.0" customHeight="1">
      <c r="A997" s="5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>
      <c r="A998" s="71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</row>
    <row r="999">
      <c r="A999" s="71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</row>
    <row r="1000">
      <c r="A1000" s="71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</row>
  </sheetData>
  <mergeCells count="27">
    <mergeCell ref="B7:D8"/>
    <mergeCell ref="A45:F48"/>
    <mergeCell ref="B50:E50"/>
    <mergeCell ref="B52:E52"/>
    <mergeCell ref="B53:E53"/>
    <mergeCell ref="A6:D6"/>
    <mergeCell ref="E6:F6"/>
    <mergeCell ref="E7:F7"/>
    <mergeCell ref="G7:G10"/>
    <mergeCell ref="E8:F8"/>
    <mergeCell ref="E9:F9"/>
    <mergeCell ref="H7:H10"/>
    <mergeCell ref="I7:I10"/>
    <mergeCell ref="H3:I3"/>
    <mergeCell ref="E4:I4"/>
    <mergeCell ref="A4:D4"/>
    <mergeCell ref="A5:D5"/>
    <mergeCell ref="E5:F5"/>
    <mergeCell ref="G5:I5"/>
    <mergeCell ref="A7:A10"/>
    <mergeCell ref="B9:D9"/>
    <mergeCell ref="A1:C3"/>
    <mergeCell ref="D1:F1"/>
    <mergeCell ref="H1:I1"/>
    <mergeCell ref="D2:F3"/>
    <mergeCell ref="H2:I2"/>
    <mergeCell ref="G6:I6"/>
  </mergeCells>
  <printOptions horizontalCentered="1" verticalCentered="1"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2" max="2" width="15.14"/>
    <col customWidth="1" min="3" max="3" width="17.0"/>
    <col customWidth="1" min="4" max="4" width="20.29"/>
    <col customWidth="1" min="5" max="5" width="30.57"/>
    <col customWidth="1" min="6" max="6" width="34.43"/>
    <col customWidth="1" min="7" max="7" width="16.0"/>
    <col customWidth="1" min="8" max="8" width="15.0"/>
    <col customWidth="1" min="9" max="9" width="17.0"/>
    <col customWidth="1" min="10" max="19" width="11.43"/>
  </cols>
  <sheetData>
    <row r="1" ht="21.0" customHeight="1">
      <c r="A1" s="1"/>
      <c r="B1" s="2"/>
      <c r="C1" s="3"/>
      <c r="D1" s="4" t="s">
        <v>0</v>
      </c>
      <c r="E1" s="5"/>
      <c r="F1" s="6"/>
      <c r="G1" s="7" t="s">
        <v>1</v>
      </c>
      <c r="H1" s="8" t="s">
        <v>2</v>
      </c>
      <c r="I1" s="6"/>
      <c r="J1" s="9"/>
      <c r="K1" s="9"/>
      <c r="L1" s="9"/>
      <c r="M1" s="9"/>
      <c r="N1" s="9"/>
      <c r="O1" s="9"/>
      <c r="P1" s="9"/>
      <c r="Q1" s="9"/>
      <c r="R1" s="9"/>
      <c r="S1" s="9"/>
    </row>
    <row r="2" ht="21.0" customHeight="1">
      <c r="A2" s="10"/>
      <c r="C2" s="11"/>
      <c r="D2" s="12" t="s">
        <v>3</v>
      </c>
      <c r="E2" s="2"/>
      <c r="F2" s="3"/>
      <c r="G2" s="7" t="s">
        <v>4</v>
      </c>
      <c r="H2" s="8">
        <v>1.0</v>
      </c>
      <c r="I2" s="6"/>
      <c r="J2" s="9"/>
      <c r="K2" s="9"/>
      <c r="L2" s="9"/>
      <c r="M2" s="9"/>
      <c r="N2" s="9"/>
      <c r="O2" s="9"/>
      <c r="P2" s="9"/>
      <c r="Q2" s="9"/>
      <c r="R2" s="9"/>
      <c r="S2" s="9"/>
    </row>
    <row r="3" ht="21.0" customHeight="1">
      <c r="A3" s="13"/>
      <c r="B3" s="14"/>
      <c r="C3" s="15"/>
      <c r="D3" s="13"/>
      <c r="E3" s="14"/>
      <c r="F3" s="15"/>
      <c r="G3" s="7" t="s">
        <v>5</v>
      </c>
      <c r="H3" s="16">
        <v>45931.0</v>
      </c>
      <c r="I3" s="6"/>
      <c r="J3" s="9"/>
      <c r="K3" s="9"/>
      <c r="L3" s="9"/>
      <c r="M3" s="9"/>
      <c r="N3" s="9"/>
      <c r="O3" s="9"/>
      <c r="P3" s="9"/>
      <c r="Q3" s="9"/>
      <c r="R3" s="9"/>
      <c r="S3" s="9"/>
    </row>
    <row r="4" ht="15.0" customHeight="1">
      <c r="A4" s="17" t="s">
        <v>6</v>
      </c>
      <c r="B4" s="5"/>
      <c r="C4" s="5"/>
      <c r="D4" s="6"/>
      <c r="E4" s="17" t="s">
        <v>40</v>
      </c>
      <c r="F4" s="5"/>
      <c r="G4" s="5"/>
      <c r="H4" s="5"/>
      <c r="I4" s="6"/>
      <c r="J4" s="9"/>
      <c r="K4" s="9"/>
      <c r="L4" s="9"/>
      <c r="M4" s="9"/>
      <c r="N4" s="9"/>
      <c r="O4" s="9"/>
      <c r="P4" s="9"/>
      <c r="Q4" s="9"/>
      <c r="R4" s="9"/>
      <c r="S4" s="9"/>
    </row>
    <row r="5" ht="15.75" customHeight="1">
      <c r="A5" s="17" t="s">
        <v>8</v>
      </c>
      <c r="B5" s="5"/>
      <c r="C5" s="5"/>
      <c r="D5" s="6"/>
      <c r="E5" s="19"/>
      <c r="F5" s="6"/>
      <c r="G5" s="17"/>
      <c r="H5" s="5"/>
      <c r="I5" s="6"/>
      <c r="J5" s="20"/>
      <c r="K5" s="20"/>
      <c r="L5" s="20"/>
      <c r="M5" s="20"/>
      <c r="N5" s="20"/>
      <c r="O5" s="20"/>
      <c r="P5" s="20"/>
      <c r="Q5" s="20"/>
      <c r="R5" s="20"/>
      <c r="S5" s="20"/>
    </row>
    <row r="6">
      <c r="A6" s="17" t="s">
        <v>9</v>
      </c>
      <c r="B6" s="5"/>
      <c r="C6" s="5"/>
      <c r="D6" s="6"/>
      <c r="E6" s="17" t="s">
        <v>10</v>
      </c>
      <c r="F6" s="6"/>
      <c r="G6" s="17"/>
      <c r="H6" s="5"/>
      <c r="I6" s="6"/>
      <c r="J6" s="9"/>
      <c r="K6" s="9"/>
      <c r="L6" s="9"/>
      <c r="M6" s="9"/>
      <c r="N6" s="9"/>
      <c r="O6" s="9"/>
      <c r="P6" s="9"/>
      <c r="Q6" s="9"/>
      <c r="R6" s="9"/>
      <c r="S6" s="9"/>
    </row>
    <row r="7" ht="34.5" customHeight="1">
      <c r="A7" s="21" t="s">
        <v>11</v>
      </c>
      <c r="B7" s="22" t="s">
        <v>12</v>
      </c>
      <c r="D7" s="11"/>
      <c r="E7" s="23" t="s">
        <v>13</v>
      </c>
      <c r="F7" s="15"/>
      <c r="G7" s="24" t="s">
        <v>14</v>
      </c>
      <c r="H7" s="24" t="s">
        <v>15</v>
      </c>
      <c r="I7" s="24" t="s">
        <v>16</v>
      </c>
      <c r="J7" s="9"/>
      <c r="K7" s="9"/>
      <c r="L7" s="9"/>
      <c r="M7" s="9"/>
      <c r="N7" s="9"/>
      <c r="O7" s="9"/>
      <c r="P7" s="9"/>
      <c r="Q7" s="9"/>
      <c r="R7" s="9"/>
      <c r="S7" s="9"/>
    </row>
    <row r="8" ht="24.75" customHeight="1">
      <c r="A8" s="25"/>
      <c r="B8" s="13"/>
      <c r="C8" s="14"/>
      <c r="D8" s="15"/>
      <c r="E8" s="26" t="s">
        <v>17</v>
      </c>
      <c r="F8" s="6"/>
      <c r="G8" s="25"/>
      <c r="H8" s="25"/>
      <c r="I8" s="25"/>
      <c r="J8" s="9"/>
      <c r="K8" s="9"/>
      <c r="L8" s="9"/>
      <c r="M8" s="9"/>
      <c r="N8" s="9"/>
      <c r="O8" s="9"/>
      <c r="P8" s="9"/>
      <c r="Q8" s="9"/>
      <c r="R8" s="9"/>
      <c r="S8" s="9"/>
    </row>
    <row r="9" ht="63.75" customHeight="1">
      <c r="A9" s="25"/>
      <c r="B9" s="27" t="s">
        <v>18</v>
      </c>
      <c r="C9" s="5"/>
      <c r="D9" s="6"/>
      <c r="E9" s="27" t="s">
        <v>19</v>
      </c>
      <c r="F9" s="6"/>
      <c r="G9" s="25"/>
      <c r="H9" s="25"/>
      <c r="I9" s="25"/>
      <c r="J9" s="9"/>
      <c r="K9" s="9"/>
      <c r="L9" s="9"/>
      <c r="M9" s="9"/>
      <c r="N9" s="9"/>
      <c r="O9" s="9"/>
      <c r="P9" s="9"/>
      <c r="Q9" s="9"/>
      <c r="R9" s="9"/>
      <c r="S9" s="9"/>
    </row>
    <row r="10" ht="43.5" customHeight="1">
      <c r="A10" s="28"/>
      <c r="B10" s="29" t="s">
        <v>20</v>
      </c>
      <c r="C10" s="30" t="s">
        <v>21</v>
      </c>
      <c r="D10" s="31" t="s">
        <v>22</v>
      </c>
      <c r="E10" s="32" t="s">
        <v>23</v>
      </c>
      <c r="F10" s="32" t="s">
        <v>24</v>
      </c>
      <c r="G10" s="28"/>
      <c r="H10" s="28"/>
      <c r="I10" s="28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ht="19.5" customHeight="1">
      <c r="A11" s="33">
        <v>1.0</v>
      </c>
      <c r="B11" s="34"/>
      <c r="C11" s="34"/>
      <c r="D11" s="35"/>
      <c r="E11" s="35"/>
      <c r="F11" s="35"/>
      <c r="G11" s="36">
        <f t="shared" ref="G11:G41" si="1">+SUM(B11:D11)</f>
        <v>0</v>
      </c>
      <c r="H11" s="36">
        <f t="shared" ref="H11:H41" si="2">+SUM(E11:F11)</f>
        <v>0</v>
      </c>
      <c r="I11" s="36">
        <f t="shared" ref="I11:I41" si="3">+G11+H11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</row>
    <row r="12" ht="19.5" customHeight="1">
      <c r="A12" s="33">
        <v>2.0</v>
      </c>
      <c r="B12" s="38"/>
      <c r="C12" s="39"/>
      <c r="D12" s="40"/>
      <c r="E12" s="40"/>
      <c r="F12" s="40"/>
      <c r="G12" s="36">
        <f t="shared" si="1"/>
        <v>0</v>
      </c>
      <c r="H12" s="36">
        <f t="shared" si="2"/>
        <v>0</v>
      </c>
      <c r="I12" s="36">
        <f t="shared" si="3"/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 ht="19.5" customHeight="1">
      <c r="A13" s="33">
        <v>3.0</v>
      </c>
      <c r="B13" s="38"/>
      <c r="C13" s="39"/>
      <c r="D13" s="40"/>
      <c r="E13" s="40"/>
      <c r="F13" s="40"/>
      <c r="G13" s="36">
        <f t="shared" si="1"/>
        <v>0</v>
      </c>
      <c r="H13" s="36">
        <f t="shared" si="2"/>
        <v>0</v>
      </c>
      <c r="I13" s="36">
        <f t="shared" si="3"/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</row>
    <row r="14" ht="19.5" customHeight="1">
      <c r="A14" s="33">
        <v>4.0</v>
      </c>
      <c r="B14" s="34"/>
      <c r="C14" s="34"/>
      <c r="D14" s="35"/>
      <c r="E14" s="35"/>
      <c r="F14" s="35"/>
      <c r="G14" s="36">
        <f t="shared" si="1"/>
        <v>0</v>
      </c>
      <c r="H14" s="36">
        <f t="shared" si="2"/>
        <v>0</v>
      </c>
      <c r="I14" s="36">
        <f t="shared" si="3"/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</row>
    <row r="15" ht="19.5" customHeight="1">
      <c r="A15" s="33">
        <v>5.0</v>
      </c>
      <c r="B15" s="34"/>
      <c r="C15" s="34"/>
      <c r="D15" s="35"/>
      <c r="E15" s="35"/>
      <c r="F15" s="35"/>
      <c r="G15" s="36">
        <f t="shared" si="1"/>
        <v>0</v>
      </c>
      <c r="H15" s="36">
        <f t="shared" si="2"/>
        <v>0</v>
      </c>
      <c r="I15" s="36">
        <f t="shared" si="3"/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</row>
    <row r="16" ht="19.5" customHeight="1">
      <c r="A16" s="33">
        <v>6.0</v>
      </c>
      <c r="B16" s="34"/>
      <c r="C16" s="34"/>
      <c r="D16" s="35"/>
      <c r="E16" s="35"/>
      <c r="F16" s="35"/>
      <c r="G16" s="36">
        <f t="shared" si="1"/>
        <v>0</v>
      </c>
      <c r="H16" s="36">
        <f t="shared" si="2"/>
        <v>0</v>
      </c>
      <c r="I16" s="36">
        <f t="shared" si="3"/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</row>
    <row r="17" ht="19.5" customHeight="1">
      <c r="A17" s="33">
        <v>7.0</v>
      </c>
      <c r="B17" s="34"/>
      <c r="C17" s="34"/>
      <c r="D17" s="35"/>
      <c r="E17" s="35"/>
      <c r="F17" s="35"/>
      <c r="G17" s="36">
        <f t="shared" si="1"/>
        <v>0</v>
      </c>
      <c r="H17" s="36">
        <f t="shared" si="2"/>
        <v>0</v>
      </c>
      <c r="I17" s="36">
        <f t="shared" si="3"/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</row>
    <row r="18" ht="19.5" customHeight="1">
      <c r="A18" s="33">
        <v>8.0</v>
      </c>
      <c r="B18" s="34"/>
      <c r="C18" s="34"/>
      <c r="D18" s="35"/>
      <c r="E18" s="35"/>
      <c r="F18" s="35"/>
      <c r="G18" s="36">
        <f t="shared" si="1"/>
        <v>0</v>
      </c>
      <c r="H18" s="36">
        <f t="shared" si="2"/>
        <v>0</v>
      </c>
      <c r="I18" s="36">
        <f t="shared" si="3"/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</row>
    <row r="19" ht="19.5" customHeight="1">
      <c r="A19" s="33">
        <v>9.0</v>
      </c>
      <c r="B19" s="34"/>
      <c r="C19" s="34"/>
      <c r="D19" s="42"/>
      <c r="E19" s="42"/>
      <c r="F19" s="35"/>
      <c r="G19" s="36">
        <f t="shared" si="1"/>
        <v>0</v>
      </c>
      <c r="H19" s="36">
        <f t="shared" si="2"/>
        <v>0</v>
      </c>
      <c r="I19" s="36">
        <f t="shared" si="3"/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</row>
    <row r="20" ht="19.5" customHeight="1">
      <c r="A20" s="33">
        <v>10.0</v>
      </c>
      <c r="B20" s="34"/>
      <c r="C20" s="34"/>
      <c r="D20" s="42"/>
      <c r="E20" s="42"/>
      <c r="F20" s="35"/>
      <c r="G20" s="36">
        <f t="shared" si="1"/>
        <v>0</v>
      </c>
      <c r="H20" s="36">
        <f t="shared" si="2"/>
        <v>0</v>
      </c>
      <c r="I20" s="36">
        <f t="shared" si="3"/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</row>
    <row r="21" ht="19.5" customHeight="1">
      <c r="A21" s="33">
        <v>11.0</v>
      </c>
      <c r="B21" s="34"/>
      <c r="C21" s="34"/>
      <c r="D21" s="42"/>
      <c r="E21" s="42"/>
      <c r="F21" s="35"/>
      <c r="G21" s="36">
        <f t="shared" si="1"/>
        <v>0</v>
      </c>
      <c r="H21" s="36">
        <f t="shared" si="2"/>
        <v>0</v>
      </c>
      <c r="I21" s="36">
        <f t="shared" si="3"/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</row>
    <row r="22" ht="19.5" customHeight="1">
      <c r="A22" s="33">
        <v>12.0</v>
      </c>
      <c r="B22" s="34"/>
      <c r="C22" s="34"/>
      <c r="D22" s="42"/>
      <c r="E22" s="42"/>
      <c r="F22" s="35"/>
      <c r="G22" s="36">
        <f t="shared" si="1"/>
        <v>0</v>
      </c>
      <c r="H22" s="36">
        <f t="shared" si="2"/>
        <v>0</v>
      </c>
      <c r="I22" s="36">
        <f t="shared" si="3"/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</row>
    <row r="23" ht="19.5" customHeight="1">
      <c r="A23" s="33">
        <v>13.0</v>
      </c>
      <c r="B23" s="34"/>
      <c r="C23" s="34"/>
      <c r="D23" s="42"/>
      <c r="E23" s="43"/>
      <c r="F23" s="35"/>
      <c r="G23" s="36">
        <f t="shared" si="1"/>
        <v>0</v>
      </c>
      <c r="H23" s="36">
        <f t="shared" si="2"/>
        <v>0</v>
      </c>
      <c r="I23" s="36">
        <f t="shared" si="3"/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</row>
    <row r="24" ht="19.5" customHeight="1">
      <c r="A24" s="33">
        <v>14.0</v>
      </c>
      <c r="B24" s="34"/>
      <c r="C24" s="34"/>
      <c r="D24" s="42"/>
      <c r="E24" s="42"/>
      <c r="F24" s="35"/>
      <c r="G24" s="36">
        <f t="shared" si="1"/>
        <v>0</v>
      </c>
      <c r="H24" s="36">
        <f t="shared" si="2"/>
        <v>0</v>
      </c>
      <c r="I24" s="36">
        <f t="shared" si="3"/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</row>
    <row r="25" ht="19.5" customHeight="1">
      <c r="A25" s="33">
        <v>15.0</v>
      </c>
      <c r="B25" s="34"/>
      <c r="C25" s="34"/>
      <c r="D25" s="42"/>
      <c r="E25" s="42"/>
      <c r="F25" s="35"/>
      <c r="G25" s="36">
        <f t="shared" si="1"/>
        <v>0</v>
      </c>
      <c r="H25" s="36">
        <f t="shared" si="2"/>
        <v>0</v>
      </c>
      <c r="I25" s="36">
        <f t="shared" si="3"/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</row>
    <row r="26" ht="19.5" customHeight="1">
      <c r="A26" s="33">
        <v>16.0</v>
      </c>
      <c r="B26" s="34"/>
      <c r="C26" s="34"/>
      <c r="D26" s="42"/>
      <c r="E26" s="42"/>
      <c r="F26" s="35"/>
      <c r="G26" s="36">
        <f t="shared" si="1"/>
        <v>0</v>
      </c>
      <c r="H26" s="36">
        <f t="shared" si="2"/>
        <v>0</v>
      </c>
      <c r="I26" s="36">
        <f t="shared" si="3"/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</row>
    <row r="27" ht="19.5" customHeight="1">
      <c r="A27" s="33">
        <v>17.0</v>
      </c>
      <c r="B27" s="34"/>
      <c r="C27" s="34"/>
      <c r="D27" s="42"/>
      <c r="E27" s="42"/>
      <c r="F27" s="35"/>
      <c r="G27" s="36">
        <f t="shared" si="1"/>
        <v>0</v>
      </c>
      <c r="H27" s="36">
        <f t="shared" si="2"/>
        <v>0</v>
      </c>
      <c r="I27" s="36">
        <f t="shared" si="3"/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</row>
    <row r="28" ht="19.5" customHeight="1">
      <c r="A28" s="33">
        <v>18.0</v>
      </c>
      <c r="B28" s="34"/>
      <c r="C28" s="34"/>
      <c r="D28" s="42"/>
      <c r="E28" s="42"/>
      <c r="F28" s="35"/>
      <c r="G28" s="36">
        <f t="shared" si="1"/>
        <v>0</v>
      </c>
      <c r="H28" s="36">
        <f t="shared" si="2"/>
        <v>0</v>
      </c>
      <c r="I28" s="36">
        <f t="shared" si="3"/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</row>
    <row r="29" ht="19.5" customHeight="1">
      <c r="A29" s="33">
        <v>19.0</v>
      </c>
      <c r="B29" s="34"/>
      <c r="C29" s="34"/>
      <c r="D29" s="42"/>
      <c r="E29" s="42"/>
      <c r="F29" s="35"/>
      <c r="G29" s="36">
        <f t="shared" si="1"/>
        <v>0</v>
      </c>
      <c r="H29" s="36">
        <f t="shared" si="2"/>
        <v>0</v>
      </c>
      <c r="I29" s="36">
        <f t="shared" si="3"/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</row>
    <row r="30" ht="19.5" customHeight="1">
      <c r="A30" s="33">
        <v>20.0</v>
      </c>
      <c r="B30" s="34"/>
      <c r="C30" s="34"/>
      <c r="D30" s="42"/>
      <c r="E30" s="42"/>
      <c r="F30" s="35"/>
      <c r="G30" s="36">
        <f t="shared" si="1"/>
        <v>0</v>
      </c>
      <c r="H30" s="36">
        <f t="shared" si="2"/>
        <v>0</v>
      </c>
      <c r="I30" s="36">
        <f t="shared" si="3"/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 ht="19.5" customHeight="1">
      <c r="A31" s="33">
        <v>21.0</v>
      </c>
      <c r="B31" s="34"/>
      <c r="C31" s="34"/>
      <c r="D31" s="42"/>
      <c r="E31" s="42"/>
      <c r="F31" s="35"/>
      <c r="G31" s="36">
        <f t="shared" si="1"/>
        <v>0</v>
      </c>
      <c r="H31" s="36">
        <f t="shared" si="2"/>
        <v>0</v>
      </c>
      <c r="I31" s="36">
        <f t="shared" si="3"/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</row>
    <row r="32" ht="19.5" customHeight="1">
      <c r="A32" s="33">
        <v>22.0</v>
      </c>
      <c r="B32" s="34"/>
      <c r="C32" s="34"/>
      <c r="D32" s="42"/>
      <c r="E32" s="42"/>
      <c r="F32" s="35"/>
      <c r="G32" s="36">
        <f t="shared" si="1"/>
        <v>0</v>
      </c>
      <c r="H32" s="36">
        <f t="shared" si="2"/>
        <v>0</v>
      </c>
      <c r="I32" s="36">
        <f t="shared" si="3"/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</row>
    <row r="33" ht="19.5" customHeight="1">
      <c r="A33" s="33">
        <v>23.0</v>
      </c>
      <c r="B33" s="34"/>
      <c r="C33" s="34"/>
      <c r="D33" s="42"/>
      <c r="E33" s="42"/>
      <c r="F33" s="35"/>
      <c r="G33" s="36">
        <f t="shared" si="1"/>
        <v>0</v>
      </c>
      <c r="H33" s="36">
        <f t="shared" si="2"/>
        <v>0</v>
      </c>
      <c r="I33" s="36">
        <f t="shared" si="3"/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</row>
    <row r="34" ht="19.5" customHeight="1">
      <c r="A34" s="33">
        <v>24.0</v>
      </c>
      <c r="B34" s="34"/>
      <c r="C34" s="34"/>
      <c r="D34" s="42"/>
      <c r="E34" s="46"/>
      <c r="F34" s="35"/>
      <c r="G34" s="36">
        <f t="shared" si="1"/>
        <v>0</v>
      </c>
      <c r="H34" s="36">
        <f t="shared" si="2"/>
        <v>0</v>
      </c>
      <c r="I34" s="36">
        <f t="shared" si="3"/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</row>
    <row r="35" ht="19.5" customHeight="1">
      <c r="A35" s="33">
        <v>25.0</v>
      </c>
      <c r="B35" s="34"/>
      <c r="C35" s="34"/>
      <c r="D35" s="42"/>
      <c r="E35" s="42"/>
      <c r="F35" s="35"/>
      <c r="G35" s="36">
        <f t="shared" si="1"/>
        <v>0</v>
      </c>
      <c r="H35" s="36">
        <f t="shared" si="2"/>
        <v>0</v>
      </c>
      <c r="I35" s="36">
        <f t="shared" si="3"/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</row>
    <row r="36" ht="19.5" customHeight="1">
      <c r="A36" s="33">
        <v>26.0</v>
      </c>
      <c r="B36" s="34"/>
      <c r="C36" s="34"/>
      <c r="D36" s="42"/>
      <c r="E36" s="42"/>
      <c r="F36" s="35"/>
      <c r="G36" s="36">
        <f t="shared" si="1"/>
        <v>0</v>
      </c>
      <c r="H36" s="36">
        <f t="shared" si="2"/>
        <v>0</v>
      </c>
      <c r="I36" s="36">
        <f t="shared" si="3"/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</row>
    <row r="37" ht="19.5" customHeight="1">
      <c r="A37" s="33">
        <v>27.0</v>
      </c>
      <c r="B37" s="34"/>
      <c r="C37" s="34"/>
      <c r="D37" s="42"/>
      <c r="E37" s="42"/>
      <c r="F37" s="35"/>
      <c r="G37" s="36">
        <f t="shared" si="1"/>
        <v>0</v>
      </c>
      <c r="H37" s="36">
        <f t="shared" si="2"/>
        <v>0</v>
      </c>
      <c r="I37" s="36">
        <f t="shared" si="3"/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</row>
    <row r="38" ht="19.5" customHeight="1">
      <c r="A38" s="33">
        <v>28.0</v>
      </c>
      <c r="B38" s="34"/>
      <c r="C38" s="34"/>
      <c r="D38" s="42"/>
      <c r="E38" s="42"/>
      <c r="F38" s="35"/>
      <c r="G38" s="36">
        <f t="shared" si="1"/>
        <v>0</v>
      </c>
      <c r="H38" s="36">
        <f t="shared" si="2"/>
        <v>0</v>
      </c>
      <c r="I38" s="36">
        <f t="shared" si="3"/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</row>
    <row r="39" ht="19.5" customHeight="1">
      <c r="A39" s="33">
        <v>29.0</v>
      </c>
      <c r="B39" s="34"/>
      <c r="C39" s="34"/>
      <c r="D39" s="42"/>
      <c r="E39" s="42"/>
      <c r="F39" s="35"/>
      <c r="G39" s="36">
        <f t="shared" si="1"/>
        <v>0</v>
      </c>
      <c r="H39" s="36">
        <f t="shared" si="2"/>
        <v>0</v>
      </c>
      <c r="I39" s="36">
        <f t="shared" si="3"/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</row>
    <row r="40" ht="19.5" customHeight="1">
      <c r="A40" s="33">
        <v>30.0</v>
      </c>
      <c r="B40" s="34"/>
      <c r="C40" s="34"/>
      <c r="D40" s="42"/>
      <c r="E40" s="42"/>
      <c r="F40" s="35"/>
      <c r="G40" s="36">
        <f t="shared" si="1"/>
        <v>0</v>
      </c>
      <c r="H40" s="36">
        <f t="shared" si="2"/>
        <v>0</v>
      </c>
      <c r="I40" s="36">
        <f t="shared" si="3"/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</row>
    <row r="41" ht="19.5" customHeight="1">
      <c r="A41" s="33">
        <v>31.0</v>
      </c>
      <c r="B41" s="34"/>
      <c r="C41" s="34"/>
      <c r="D41" s="42"/>
      <c r="E41" s="42"/>
      <c r="F41" s="35"/>
      <c r="G41" s="36">
        <f t="shared" si="1"/>
        <v>0</v>
      </c>
      <c r="H41" s="36">
        <f t="shared" si="2"/>
        <v>0</v>
      </c>
      <c r="I41" s="36">
        <f t="shared" si="3"/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</row>
    <row r="42" ht="21.0" customHeight="1">
      <c r="A42" s="47" t="s">
        <v>27</v>
      </c>
      <c r="B42" s="48">
        <f t="shared" ref="B42:I42" si="4">+SUM(B11:B41)</f>
        <v>0</v>
      </c>
      <c r="C42" s="48">
        <f t="shared" si="4"/>
        <v>0</v>
      </c>
      <c r="D42" s="48">
        <f t="shared" si="4"/>
        <v>0</v>
      </c>
      <c r="E42" s="48">
        <f t="shared" si="4"/>
        <v>0</v>
      </c>
      <c r="F42" s="48">
        <f t="shared" si="4"/>
        <v>0</v>
      </c>
      <c r="G42" s="47">
        <f t="shared" si="4"/>
        <v>0</v>
      </c>
      <c r="H42" s="47">
        <f t="shared" si="4"/>
        <v>0</v>
      </c>
      <c r="I42" s="47">
        <f t="shared" si="4"/>
        <v>0</v>
      </c>
      <c r="J42" s="49"/>
      <c r="K42" s="49"/>
      <c r="L42" s="49"/>
      <c r="M42" s="49"/>
      <c r="N42" s="49"/>
      <c r="O42" s="49"/>
      <c r="P42" s="49"/>
      <c r="Q42" s="49"/>
      <c r="R42" s="49"/>
      <c r="S42" s="49"/>
    </row>
    <row r="43" ht="9.0" hidden="1" customHeight="1">
      <c r="A43" s="50" t="s">
        <v>28</v>
      </c>
      <c r="B43" s="51">
        <f>(B42/A41)</f>
        <v>0</v>
      </c>
      <c r="C43" s="51">
        <f>(C42/A41)</f>
        <v>0</v>
      </c>
      <c r="D43" s="51">
        <f>D42/A41</f>
        <v>0</v>
      </c>
      <c r="E43" s="51">
        <f t="shared" ref="E43:F43" si="5">(E42/31)</f>
        <v>0</v>
      </c>
      <c r="F43" s="51">
        <f t="shared" si="5"/>
        <v>0</v>
      </c>
      <c r="G43" s="52">
        <f>+SUM(B43:D43)</f>
        <v>0</v>
      </c>
      <c r="H43" s="52">
        <f>+SUM(E43:F43)</f>
        <v>0</v>
      </c>
      <c r="I43" s="52">
        <f>+G43+H43</f>
        <v>0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9.0" hidden="1" customHeight="1">
      <c r="A44" s="53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9.0" hidden="1" customHeight="1">
      <c r="A45" s="54" t="s">
        <v>29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9.0" hidden="1" customHeight="1"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9.0" hidden="1" customHeight="1"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9.0" hidden="1" customHeight="1"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9.0" hidden="1" customHeight="1">
      <c r="A49" s="53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2.0" hidden="1" customHeight="1">
      <c r="A50" s="55"/>
      <c r="B50" s="56" t="s">
        <v>30</v>
      </c>
      <c r="C50" s="57"/>
      <c r="D50" s="57"/>
      <c r="E50" s="57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2.0" hidden="1" customHeight="1">
      <c r="A51" s="58"/>
      <c r="B51" s="59" t="s">
        <v>31</v>
      </c>
      <c r="C51" s="59"/>
      <c r="D51" s="59"/>
      <c r="E51" s="5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2.0" hidden="1" customHeight="1">
      <c r="A52" s="60"/>
      <c r="B52" s="59" t="s">
        <v>32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2.0" hidden="1" customHeight="1">
      <c r="A53" s="61"/>
      <c r="B53" s="59" t="s">
        <v>33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2.75" hidden="1" customHeight="1">
      <c r="A54" s="62"/>
      <c r="B54" s="63" t="s">
        <v>34</v>
      </c>
      <c r="C54" s="64"/>
      <c r="D54" s="64"/>
      <c r="E54" s="64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9.0" hidden="1" customHeight="1">
      <c r="A55" s="5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24.0" customHeight="1">
      <c r="A56" s="65" t="s">
        <v>35</v>
      </c>
      <c r="B56" s="66" t="str">
        <f>(B42/I42)</f>
        <v>#DIV/0!</v>
      </c>
      <c r="C56" s="66" t="str">
        <f>(C42/I42)</f>
        <v>#DIV/0!</v>
      </c>
      <c r="D56" s="65"/>
      <c r="E56" s="66" t="str">
        <f>(E42/I42)</f>
        <v>#DIV/0!</v>
      </c>
      <c r="F56" s="65"/>
      <c r="G56" s="65"/>
      <c r="H56" s="65"/>
      <c r="I56" s="65"/>
      <c r="J56" s="67"/>
      <c r="K56" s="67"/>
      <c r="L56" s="67"/>
      <c r="M56" s="67"/>
      <c r="N56" s="67"/>
      <c r="O56" s="67"/>
      <c r="P56" s="67"/>
      <c r="Q56" s="67"/>
      <c r="R56" s="67"/>
      <c r="S56" s="67"/>
    </row>
    <row r="57" ht="27.0" customHeight="1">
      <c r="A57" s="68" t="s">
        <v>36</v>
      </c>
      <c r="B57" s="69" t="s">
        <v>37</v>
      </c>
      <c r="C57" s="69" t="s">
        <v>38</v>
      </c>
      <c r="D57" s="68"/>
      <c r="E57" s="69" t="s">
        <v>39</v>
      </c>
      <c r="F57" s="68"/>
      <c r="G57" s="68"/>
      <c r="H57" s="68"/>
      <c r="I57" s="68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9.0" customHeight="1">
      <c r="A58" s="5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9.0" customHeight="1">
      <c r="A59" s="53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9.0" customHeight="1">
      <c r="A60" s="53"/>
      <c r="B60" s="9"/>
      <c r="C60" s="9"/>
      <c r="D60" s="9"/>
      <c r="E60" s="70"/>
      <c r="F60" s="2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9.0" customHeight="1">
      <c r="A61" s="53"/>
      <c r="B61" s="9"/>
      <c r="C61" s="9"/>
      <c r="D61" s="9"/>
      <c r="E61" s="20"/>
      <c r="F61" s="20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9.0" customHeight="1">
      <c r="A62" s="53"/>
      <c r="B62" s="9"/>
      <c r="C62" s="9"/>
      <c r="D62" s="9"/>
      <c r="E62" s="20"/>
      <c r="F62" s="20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9.0" customHeight="1">
      <c r="A63" s="53"/>
      <c r="B63" s="9"/>
      <c r="C63" s="9"/>
      <c r="D63" s="9"/>
      <c r="E63" s="20"/>
      <c r="F63" s="20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9.0" customHeight="1">
      <c r="A64" s="5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9.0" customHeight="1">
      <c r="A65" s="5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9.0" customHeight="1">
      <c r="A66" s="53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9.0" customHeight="1">
      <c r="A67" s="5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9.0" customHeight="1">
      <c r="A68" s="5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9.0" customHeight="1">
      <c r="A69" s="5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9.0" customHeight="1">
      <c r="A70" s="5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9.0" customHeight="1">
      <c r="A71" s="53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9.0" customHeight="1">
      <c r="A72" s="53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9.0" customHeight="1">
      <c r="A73" s="53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9.0" customHeight="1">
      <c r="A74" s="53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9.0" customHeight="1">
      <c r="A75" s="53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9.0" customHeight="1">
      <c r="A76" s="5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9.0" customHeight="1">
      <c r="A77" s="5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9.0" customHeight="1">
      <c r="A78" s="53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9.0" customHeight="1">
      <c r="A79" s="53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9.0" customHeight="1">
      <c r="A80" s="53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9.0" customHeight="1">
      <c r="A81" s="5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9.0" customHeight="1">
      <c r="A82" s="5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9.0" customHeight="1">
      <c r="A83" s="5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9.0" customHeight="1">
      <c r="A84" s="53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9.0" customHeight="1">
      <c r="A85" s="53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9.0" customHeight="1">
      <c r="A86" s="53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9.0" customHeight="1">
      <c r="A87" s="5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9.0" customHeight="1">
      <c r="A88" s="5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9.0" customHeight="1">
      <c r="A89" s="5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9.0" customHeight="1">
      <c r="A90" s="5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9.0" customHeight="1">
      <c r="A91" s="5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9.0" customHeight="1">
      <c r="A92" s="5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9.0" customHeight="1">
      <c r="A93" s="5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9.0" customHeight="1">
      <c r="A94" s="5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9.0" customHeight="1">
      <c r="A95" s="5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9.0" customHeight="1">
      <c r="A96" s="5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9.0" customHeight="1">
      <c r="A97" s="5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9.0" customHeight="1">
      <c r="A98" s="5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9.0" customHeight="1">
      <c r="A99" s="5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9.0" customHeight="1">
      <c r="A100" s="5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9.0" customHeight="1">
      <c r="A101" s="5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9.0" customHeight="1">
      <c r="A102" s="5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9.0" customHeight="1">
      <c r="A103" s="5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9.0" customHeight="1">
      <c r="A104" s="5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9.0" customHeight="1">
      <c r="A105" s="5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9.0" customHeight="1">
      <c r="A106" s="5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9.0" customHeight="1">
      <c r="A107" s="5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9.0" customHeight="1">
      <c r="A108" s="5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9.0" customHeight="1">
      <c r="A109" s="5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9.0" customHeight="1">
      <c r="A110" s="5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9.0" customHeight="1">
      <c r="A111" s="5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9.0" customHeight="1">
      <c r="A112" s="5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9.0" customHeight="1">
      <c r="A113" s="5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9.0" customHeight="1">
      <c r="A114" s="5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9.0" customHeight="1">
      <c r="A115" s="5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9.0" customHeight="1">
      <c r="A116" s="5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9.0" customHeight="1">
      <c r="A117" s="5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9.0" customHeight="1">
      <c r="A118" s="5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9.0" customHeight="1">
      <c r="A119" s="5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9.0" customHeight="1">
      <c r="A120" s="5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9.0" customHeight="1">
      <c r="A121" s="5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9.0" customHeight="1">
      <c r="A122" s="5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9.0" customHeight="1">
      <c r="A123" s="5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9.0" customHeight="1">
      <c r="A124" s="5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9.0" customHeight="1">
      <c r="A125" s="5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9.0" customHeight="1">
      <c r="A126" s="5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9.0" customHeight="1">
      <c r="A127" s="5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9.0" customHeight="1">
      <c r="A128" s="5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9.0" customHeight="1">
      <c r="A129" s="5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9.0" customHeight="1">
      <c r="A130" s="5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9.0" customHeight="1">
      <c r="A131" s="5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9.0" customHeight="1">
      <c r="A132" s="5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9.0" customHeight="1">
      <c r="A133" s="5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9.0" customHeight="1">
      <c r="A134" s="5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9.0" customHeight="1">
      <c r="A135" s="5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9.0" customHeight="1">
      <c r="A136" s="5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9.0" customHeight="1">
      <c r="A137" s="5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9.0" customHeight="1">
      <c r="A138" s="5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9.0" customHeight="1">
      <c r="A139" s="5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9.0" customHeight="1">
      <c r="A140" s="5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9.0" customHeight="1">
      <c r="A141" s="5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9.0" customHeight="1">
      <c r="A142" s="5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9.0" customHeight="1">
      <c r="A143" s="5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9.0" customHeight="1">
      <c r="A144" s="5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9.0" customHeight="1">
      <c r="A145" s="5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9.0" customHeight="1">
      <c r="A146" s="5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9.0" customHeight="1">
      <c r="A147" s="5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9.0" customHeight="1">
      <c r="A148" s="5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9.0" customHeight="1">
      <c r="A149" s="5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9.0" customHeight="1">
      <c r="A150" s="5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9.0" customHeight="1">
      <c r="A151" s="5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9.0" customHeight="1">
      <c r="A152" s="5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9.0" customHeight="1">
      <c r="A153" s="5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9.0" customHeight="1">
      <c r="A154" s="5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9.0" customHeight="1">
      <c r="A155" s="5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9.0" customHeight="1">
      <c r="A156" s="5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9.0" customHeight="1">
      <c r="A157" s="5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9.0" customHeight="1">
      <c r="A158" s="5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9.0" customHeight="1">
      <c r="A159" s="5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9.0" customHeight="1">
      <c r="A160" s="5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9.0" customHeight="1">
      <c r="A161" s="5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9.0" customHeight="1">
      <c r="A162" s="5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9.0" customHeight="1">
      <c r="A163" s="5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9.0" customHeight="1">
      <c r="A164" s="5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9.0" customHeight="1">
      <c r="A165" s="5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9.0" customHeight="1">
      <c r="A166" s="5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9.0" customHeight="1">
      <c r="A167" s="5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9.0" customHeight="1">
      <c r="A168" s="5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9.0" customHeight="1">
      <c r="A169" s="5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9.0" customHeight="1">
      <c r="A170" s="5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9.0" customHeight="1">
      <c r="A171" s="5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9.0" customHeight="1">
      <c r="A172" s="5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9.0" customHeight="1">
      <c r="A173" s="5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9.0" customHeight="1">
      <c r="A174" s="5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9.0" customHeight="1">
      <c r="A175" s="5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9.0" customHeight="1">
      <c r="A176" s="5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9.0" customHeight="1">
      <c r="A177" s="5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9.0" customHeight="1">
      <c r="A178" s="5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9.0" customHeight="1">
      <c r="A179" s="5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9.0" customHeight="1">
      <c r="A180" s="5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9.0" customHeight="1">
      <c r="A181" s="5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9.0" customHeight="1">
      <c r="A182" s="5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9.0" customHeight="1">
      <c r="A183" s="5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9.0" customHeight="1">
      <c r="A184" s="5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9.0" customHeight="1">
      <c r="A185" s="5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9.0" customHeight="1">
      <c r="A186" s="5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9.0" customHeight="1">
      <c r="A187" s="5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9.0" customHeight="1">
      <c r="A188" s="5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9.0" customHeight="1">
      <c r="A189" s="5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9.0" customHeight="1">
      <c r="A190" s="5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9.0" customHeight="1">
      <c r="A191" s="5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9.0" customHeight="1">
      <c r="A192" s="5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9.0" customHeight="1">
      <c r="A193" s="5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9.0" customHeight="1">
      <c r="A194" s="5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9.0" customHeight="1">
      <c r="A195" s="5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9.0" customHeight="1">
      <c r="A196" s="5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9.0" customHeight="1">
      <c r="A197" s="5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9.0" customHeight="1">
      <c r="A198" s="5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9.0" customHeight="1">
      <c r="A199" s="5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9.0" customHeight="1">
      <c r="A200" s="5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9.0" customHeight="1">
      <c r="A201" s="5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9.0" customHeight="1">
      <c r="A202" s="5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9.0" customHeight="1">
      <c r="A203" s="5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9.0" customHeight="1">
      <c r="A204" s="5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9.0" customHeight="1">
      <c r="A205" s="5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9.0" customHeight="1">
      <c r="A206" s="5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9.0" customHeight="1">
      <c r="A207" s="5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9.0" customHeight="1">
      <c r="A208" s="5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9.0" customHeight="1">
      <c r="A209" s="5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9.0" customHeight="1">
      <c r="A210" s="5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9.0" customHeight="1">
      <c r="A211" s="5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9.0" customHeight="1">
      <c r="A212" s="5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9.0" customHeight="1">
      <c r="A213" s="5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9.0" customHeight="1">
      <c r="A214" s="5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9.0" customHeight="1">
      <c r="A215" s="5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9.0" customHeight="1">
      <c r="A216" s="5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9.0" customHeight="1">
      <c r="A217" s="5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9.0" customHeight="1">
      <c r="A218" s="5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9.0" customHeight="1">
      <c r="A219" s="5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9.0" customHeight="1">
      <c r="A220" s="5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9.0" customHeight="1">
      <c r="A221" s="5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9.0" customHeight="1">
      <c r="A222" s="5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9.0" customHeight="1">
      <c r="A223" s="5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9.0" customHeight="1">
      <c r="A224" s="5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9.0" customHeight="1">
      <c r="A225" s="5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9.0" customHeight="1">
      <c r="A226" s="5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9.0" customHeight="1">
      <c r="A227" s="5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9.0" customHeight="1">
      <c r="A228" s="5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9.0" customHeight="1">
      <c r="A229" s="5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9.0" customHeight="1">
      <c r="A230" s="5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9.0" customHeight="1">
      <c r="A231" s="5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9.0" customHeight="1">
      <c r="A232" s="5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9.0" customHeight="1">
      <c r="A233" s="5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9.0" customHeight="1">
      <c r="A234" s="5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9.0" customHeight="1">
      <c r="A235" s="5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9.0" customHeight="1">
      <c r="A236" s="5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9.0" customHeight="1">
      <c r="A237" s="5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9.0" customHeight="1">
      <c r="A238" s="5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9.0" customHeight="1">
      <c r="A239" s="5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9.0" customHeight="1">
      <c r="A240" s="5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9.0" customHeight="1">
      <c r="A241" s="5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9.0" customHeight="1">
      <c r="A242" s="5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9.0" customHeight="1">
      <c r="A243" s="5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9.0" customHeight="1">
      <c r="A244" s="5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9.0" customHeight="1">
      <c r="A245" s="5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9.0" customHeight="1">
      <c r="A246" s="5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9.0" customHeight="1">
      <c r="A247" s="5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9.0" customHeight="1">
      <c r="A248" s="5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9.0" customHeight="1">
      <c r="A249" s="5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9.0" customHeight="1">
      <c r="A250" s="5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9.0" customHeight="1">
      <c r="A251" s="5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9.0" customHeight="1">
      <c r="A252" s="5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9.0" customHeight="1">
      <c r="A253" s="5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9.0" customHeight="1">
      <c r="A254" s="5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9.0" customHeight="1">
      <c r="A255" s="5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9.0" customHeight="1">
      <c r="A256" s="5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9.0" customHeight="1">
      <c r="A257" s="5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9.0" customHeight="1">
      <c r="A258" s="5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9.0" customHeight="1">
      <c r="A259" s="5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9.0" customHeight="1">
      <c r="A260" s="5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9.0" customHeight="1">
      <c r="A261" s="5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9.0" customHeight="1">
      <c r="A262" s="5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9.0" customHeight="1">
      <c r="A263" s="5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9.0" customHeight="1">
      <c r="A264" s="5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9.0" customHeight="1">
      <c r="A265" s="5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9.0" customHeight="1">
      <c r="A266" s="5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9.0" customHeight="1">
      <c r="A267" s="5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9.0" customHeight="1">
      <c r="A268" s="5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9.0" customHeight="1">
      <c r="A269" s="5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9.0" customHeight="1">
      <c r="A270" s="5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9.0" customHeight="1">
      <c r="A271" s="5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9.0" customHeight="1">
      <c r="A272" s="5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9.0" customHeight="1">
      <c r="A273" s="5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9.0" customHeight="1">
      <c r="A274" s="5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9.0" customHeight="1">
      <c r="A275" s="5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9.0" customHeight="1">
      <c r="A276" s="5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9.0" customHeight="1">
      <c r="A277" s="5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9.0" customHeight="1">
      <c r="A278" s="5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9.0" customHeight="1">
      <c r="A279" s="5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9.0" customHeight="1">
      <c r="A280" s="5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9.0" customHeight="1">
      <c r="A281" s="5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9.0" customHeight="1">
      <c r="A282" s="5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9.0" customHeight="1">
      <c r="A283" s="5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9.0" customHeight="1">
      <c r="A284" s="5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9.0" customHeight="1">
      <c r="A285" s="5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9.0" customHeight="1">
      <c r="A286" s="5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9.0" customHeight="1">
      <c r="A287" s="5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9.0" customHeight="1">
      <c r="A288" s="5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9.0" customHeight="1">
      <c r="A289" s="5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9.0" customHeight="1">
      <c r="A290" s="5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9.0" customHeight="1">
      <c r="A291" s="5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9.0" customHeight="1">
      <c r="A292" s="5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9.0" customHeight="1">
      <c r="A293" s="5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9.0" customHeight="1">
      <c r="A294" s="5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9.0" customHeight="1">
      <c r="A295" s="5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9.0" customHeight="1">
      <c r="A296" s="5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9.0" customHeight="1">
      <c r="A297" s="5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9.0" customHeight="1">
      <c r="A298" s="5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9.0" customHeight="1">
      <c r="A299" s="5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9.0" customHeight="1">
      <c r="A300" s="5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9.0" customHeight="1">
      <c r="A301" s="5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9.0" customHeight="1">
      <c r="A302" s="5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9.0" customHeight="1">
      <c r="A303" s="5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9.0" customHeight="1">
      <c r="A304" s="5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9.0" customHeight="1">
      <c r="A305" s="5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9.0" customHeight="1">
      <c r="A306" s="5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9.0" customHeight="1">
      <c r="A307" s="5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9.0" customHeight="1">
      <c r="A308" s="5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9.0" customHeight="1">
      <c r="A309" s="5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9.0" customHeight="1">
      <c r="A310" s="5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9.0" customHeight="1">
      <c r="A311" s="5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9.0" customHeight="1">
      <c r="A312" s="5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9.0" customHeight="1">
      <c r="A313" s="5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9.0" customHeight="1">
      <c r="A314" s="5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9.0" customHeight="1">
      <c r="A315" s="5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9.0" customHeight="1">
      <c r="A316" s="5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9.0" customHeight="1">
      <c r="A317" s="5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9.0" customHeight="1">
      <c r="A318" s="5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9.0" customHeight="1">
      <c r="A319" s="5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9.0" customHeight="1">
      <c r="A320" s="5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9.0" customHeight="1">
      <c r="A321" s="5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9.0" customHeight="1">
      <c r="A322" s="5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9.0" customHeight="1">
      <c r="A323" s="5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9.0" customHeight="1">
      <c r="A324" s="5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9.0" customHeight="1">
      <c r="A325" s="5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9.0" customHeight="1">
      <c r="A326" s="5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9.0" customHeight="1">
      <c r="A327" s="5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9.0" customHeight="1">
      <c r="A328" s="5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9.0" customHeight="1">
      <c r="A329" s="5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9.0" customHeight="1">
      <c r="A330" s="5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9.0" customHeight="1">
      <c r="A331" s="5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9.0" customHeight="1">
      <c r="A332" s="5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9.0" customHeight="1">
      <c r="A333" s="5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9.0" customHeight="1">
      <c r="A334" s="5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9.0" customHeight="1">
      <c r="A335" s="5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9.0" customHeight="1">
      <c r="A336" s="5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9.0" customHeight="1">
      <c r="A337" s="5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9.0" customHeight="1">
      <c r="A338" s="5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9.0" customHeight="1">
      <c r="A339" s="5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9.0" customHeight="1">
      <c r="A340" s="5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9.0" customHeight="1">
      <c r="A341" s="5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9.0" customHeight="1">
      <c r="A342" s="5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9.0" customHeight="1">
      <c r="A343" s="5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9.0" customHeight="1">
      <c r="A344" s="5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9.0" customHeight="1">
      <c r="A345" s="5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9.0" customHeight="1">
      <c r="A346" s="5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9.0" customHeight="1">
      <c r="A347" s="5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9.0" customHeight="1">
      <c r="A348" s="5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9.0" customHeight="1">
      <c r="A349" s="5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9.0" customHeight="1">
      <c r="A350" s="5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9.0" customHeight="1">
      <c r="A351" s="5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9.0" customHeight="1">
      <c r="A352" s="5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9.0" customHeight="1">
      <c r="A353" s="5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9.0" customHeight="1">
      <c r="A354" s="5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9.0" customHeight="1">
      <c r="A355" s="5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9.0" customHeight="1">
      <c r="A356" s="5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9.0" customHeight="1">
      <c r="A357" s="5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9.0" customHeight="1">
      <c r="A358" s="5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9.0" customHeight="1">
      <c r="A359" s="5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9.0" customHeight="1">
      <c r="A360" s="5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9.0" customHeight="1">
      <c r="A361" s="5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9.0" customHeight="1">
      <c r="A362" s="5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9.0" customHeight="1">
      <c r="A363" s="5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9.0" customHeight="1">
      <c r="A364" s="5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9.0" customHeight="1">
      <c r="A365" s="5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9.0" customHeight="1">
      <c r="A366" s="5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9.0" customHeight="1">
      <c r="A367" s="5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9.0" customHeight="1">
      <c r="A368" s="5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9.0" customHeight="1">
      <c r="A369" s="5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9.0" customHeight="1">
      <c r="A370" s="5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9.0" customHeight="1">
      <c r="A371" s="5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9.0" customHeight="1">
      <c r="A372" s="5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9.0" customHeight="1">
      <c r="A373" s="5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9.0" customHeight="1">
      <c r="A374" s="5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9.0" customHeight="1">
      <c r="A375" s="5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9.0" customHeight="1">
      <c r="A376" s="5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9.0" customHeight="1">
      <c r="A377" s="5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9.0" customHeight="1">
      <c r="A378" s="5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9.0" customHeight="1">
      <c r="A379" s="5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9.0" customHeight="1">
      <c r="A380" s="5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9.0" customHeight="1">
      <c r="A381" s="5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9.0" customHeight="1">
      <c r="A382" s="5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9.0" customHeight="1">
      <c r="A383" s="5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9.0" customHeight="1">
      <c r="A384" s="5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9.0" customHeight="1">
      <c r="A385" s="5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9.0" customHeight="1">
      <c r="A386" s="5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9.0" customHeight="1">
      <c r="A387" s="5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9.0" customHeight="1">
      <c r="A388" s="5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9.0" customHeight="1">
      <c r="A389" s="5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9.0" customHeight="1">
      <c r="A390" s="5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9.0" customHeight="1">
      <c r="A391" s="5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9.0" customHeight="1">
      <c r="A392" s="5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9.0" customHeight="1">
      <c r="A393" s="5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9.0" customHeight="1">
      <c r="A394" s="5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9.0" customHeight="1">
      <c r="A395" s="5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9.0" customHeight="1">
      <c r="A396" s="5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9.0" customHeight="1">
      <c r="A397" s="5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9.0" customHeight="1">
      <c r="A398" s="5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9.0" customHeight="1">
      <c r="A399" s="5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9.0" customHeight="1">
      <c r="A400" s="5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9.0" customHeight="1">
      <c r="A401" s="5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9.0" customHeight="1">
      <c r="A402" s="5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9.0" customHeight="1">
      <c r="A403" s="5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9.0" customHeight="1">
      <c r="A404" s="5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9.0" customHeight="1">
      <c r="A405" s="5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9.0" customHeight="1">
      <c r="A406" s="5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9.0" customHeight="1">
      <c r="A407" s="5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9.0" customHeight="1">
      <c r="A408" s="5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9.0" customHeight="1">
      <c r="A409" s="5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9.0" customHeight="1">
      <c r="A410" s="5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9.0" customHeight="1">
      <c r="A411" s="5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9.0" customHeight="1">
      <c r="A412" s="5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9.0" customHeight="1">
      <c r="A413" s="5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9.0" customHeight="1">
      <c r="A414" s="5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9.0" customHeight="1">
      <c r="A415" s="5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9.0" customHeight="1">
      <c r="A416" s="5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9.0" customHeight="1">
      <c r="A417" s="5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9.0" customHeight="1">
      <c r="A418" s="5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9.0" customHeight="1">
      <c r="A419" s="5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9.0" customHeight="1">
      <c r="A420" s="5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9.0" customHeight="1">
      <c r="A421" s="5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9.0" customHeight="1">
      <c r="A422" s="5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9.0" customHeight="1">
      <c r="A423" s="5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9.0" customHeight="1">
      <c r="A424" s="5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9.0" customHeight="1">
      <c r="A425" s="5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9.0" customHeight="1">
      <c r="A426" s="5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9.0" customHeight="1">
      <c r="A427" s="5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9.0" customHeight="1">
      <c r="A428" s="5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9.0" customHeight="1">
      <c r="A429" s="5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9.0" customHeight="1">
      <c r="A430" s="5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9.0" customHeight="1">
      <c r="A431" s="5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9.0" customHeight="1">
      <c r="A432" s="5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9.0" customHeight="1">
      <c r="A433" s="5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9.0" customHeight="1">
      <c r="A434" s="5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9.0" customHeight="1">
      <c r="A435" s="5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9.0" customHeight="1">
      <c r="A436" s="5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9.0" customHeight="1">
      <c r="A437" s="5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9.0" customHeight="1">
      <c r="A438" s="5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9.0" customHeight="1">
      <c r="A439" s="5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9.0" customHeight="1">
      <c r="A440" s="5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9.0" customHeight="1">
      <c r="A441" s="5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9.0" customHeight="1">
      <c r="A442" s="5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9.0" customHeight="1">
      <c r="A443" s="5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9.0" customHeight="1">
      <c r="A444" s="5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9.0" customHeight="1">
      <c r="A445" s="5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9.0" customHeight="1">
      <c r="A446" s="5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9.0" customHeight="1">
      <c r="A447" s="5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9.0" customHeight="1">
      <c r="A448" s="5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9.0" customHeight="1">
      <c r="A449" s="5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9.0" customHeight="1">
      <c r="A450" s="5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9.0" customHeight="1">
      <c r="A451" s="5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9.0" customHeight="1">
      <c r="A452" s="5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9.0" customHeight="1">
      <c r="A453" s="5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9.0" customHeight="1">
      <c r="A454" s="5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9.0" customHeight="1">
      <c r="A455" s="5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9.0" customHeight="1">
      <c r="A456" s="5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9.0" customHeight="1">
      <c r="A457" s="5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9.0" customHeight="1">
      <c r="A458" s="5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9.0" customHeight="1">
      <c r="A459" s="5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9.0" customHeight="1">
      <c r="A460" s="5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9.0" customHeight="1">
      <c r="A461" s="5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9.0" customHeight="1">
      <c r="A462" s="5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9.0" customHeight="1">
      <c r="A463" s="5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9.0" customHeight="1">
      <c r="A464" s="5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9.0" customHeight="1">
      <c r="A465" s="5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9.0" customHeight="1">
      <c r="A466" s="5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9.0" customHeight="1">
      <c r="A467" s="5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9.0" customHeight="1">
      <c r="A468" s="5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9.0" customHeight="1">
      <c r="A469" s="5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9.0" customHeight="1">
      <c r="A470" s="5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9.0" customHeight="1">
      <c r="A471" s="5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9.0" customHeight="1">
      <c r="A472" s="5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9.0" customHeight="1">
      <c r="A473" s="5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9.0" customHeight="1">
      <c r="A474" s="5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9.0" customHeight="1">
      <c r="A475" s="5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9.0" customHeight="1">
      <c r="A476" s="5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9.0" customHeight="1">
      <c r="A477" s="5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9.0" customHeight="1">
      <c r="A478" s="5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9.0" customHeight="1">
      <c r="A479" s="5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9.0" customHeight="1">
      <c r="A480" s="5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9.0" customHeight="1">
      <c r="A481" s="5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9.0" customHeight="1">
      <c r="A482" s="5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9.0" customHeight="1">
      <c r="A483" s="5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9.0" customHeight="1">
      <c r="A484" s="5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9.0" customHeight="1">
      <c r="A485" s="5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9.0" customHeight="1">
      <c r="A486" s="5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9.0" customHeight="1">
      <c r="A487" s="5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9.0" customHeight="1">
      <c r="A488" s="5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9.0" customHeight="1">
      <c r="A489" s="5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9.0" customHeight="1">
      <c r="A490" s="5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9.0" customHeight="1">
      <c r="A491" s="5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9.0" customHeight="1">
      <c r="A492" s="5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9.0" customHeight="1">
      <c r="A493" s="5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9.0" customHeight="1">
      <c r="A494" s="5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9.0" customHeight="1">
      <c r="A495" s="5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9.0" customHeight="1">
      <c r="A496" s="5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9.0" customHeight="1">
      <c r="A497" s="5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9.0" customHeight="1">
      <c r="A498" s="5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9.0" customHeight="1">
      <c r="A499" s="5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9.0" customHeight="1">
      <c r="A500" s="5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9.0" customHeight="1">
      <c r="A501" s="5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9.0" customHeight="1">
      <c r="A502" s="5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9.0" customHeight="1">
      <c r="A503" s="5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9.0" customHeight="1">
      <c r="A504" s="5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9.0" customHeight="1">
      <c r="A505" s="5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9.0" customHeight="1">
      <c r="A506" s="5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9.0" customHeight="1">
      <c r="A507" s="5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9.0" customHeight="1">
      <c r="A508" s="5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9.0" customHeight="1">
      <c r="A509" s="5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9.0" customHeight="1">
      <c r="A510" s="5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9.0" customHeight="1">
      <c r="A511" s="5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9.0" customHeight="1">
      <c r="A512" s="5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9.0" customHeight="1">
      <c r="A513" s="5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9.0" customHeight="1">
      <c r="A514" s="5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9.0" customHeight="1">
      <c r="A515" s="5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9.0" customHeight="1">
      <c r="A516" s="5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9.0" customHeight="1">
      <c r="A517" s="5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9.0" customHeight="1">
      <c r="A518" s="5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9.0" customHeight="1">
      <c r="A519" s="5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9.0" customHeight="1">
      <c r="A520" s="5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9.0" customHeight="1">
      <c r="A521" s="5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9.0" customHeight="1">
      <c r="A522" s="5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9.0" customHeight="1">
      <c r="A523" s="5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9.0" customHeight="1">
      <c r="A524" s="5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9.0" customHeight="1">
      <c r="A525" s="5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9.0" customHeight="1">
      <c r="A526" s="5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9.0" customHeight="1">
      <c r="A527" s="5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9.0" customHeight="1">
      <c r="A528" s="5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9.0" customHeight="1">
      <c r="A529" s="5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9.0" customHeight="1">
      <c r="A530" s="5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9.0" customHeight="1">
      <c r="A531" s="5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9.0" customHeight="1">
      <c r="A532" s="5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9.0" customHeight="1">
      <c r="A533" s="5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9.0" customHeight="1">
      <c r="A534" s="5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9.0" customHeight="1">
      <c r="A535" s="5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9.0" customHeight="1">
      <c r="A536" s="5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9.0" customHeight="1">
      <c r="A537" s="5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9.0" customHeight="1">
      <c r="A538" s="5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9.0" customHeight="1">
      <c r="A539" s="5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9.0" customHeight="1">
      <c r="A540" s="5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9.0" customHeight="1">
      <c r="A541" s="5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9.0" customHeight="1">
      <c r="A542" s="5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9.0" customHeight="1">
      <c r="A543" s="5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9.0" customHeight="1">
      <c r="A544" s="5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9.0" customHeight="1">
      <c r="A545" s="5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9.0" customHeight="1">
      <c r="A546" s="5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9.0" customHeight="1">
      <c r="A547" s="5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9.0" customHeight="1">
      <c r="A548" s="5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9.0" customHeight="1">
      <c r="A549" s="5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9.0" customHeight="1">
      <c r="A550" s="5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9.0" customHeight="1">
      <c r="A551" s="5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9.0" customHeight="1">
      <c r="A552" s="5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9.0" customHeight="1">
      <c r="A553" s="5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9.0" customHeight="1">
      <c r="A554" s="5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9.0" customHeight="1">
      <c r="A555" s="5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9.0" customHeight="1">
      <c r="A556" s="5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9.0" customHeight="1">
      <c r="A557" s="5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9.0" customHeight="1">
      <c r="A558" s="5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9.0" customHeight="1">
      <c r="A559" s="5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9.0" customHeight="1">
      <c r="A560" s="5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9.0" customHeight="1">
      <c r="A561" s="5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9.0" customHeight="1">
      <c r="A562" s="5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9.0" customHeight="1">
      <c r="A563" s="5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9.0" customHeight="1">
      <c r="A564" s="5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9.0" customHeight="1">
      <c r="A565" s="5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9.0" customHeight="1">
      <c r="A566" s="5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9.0" customHeight="1">
      <c r="A567" s="5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9.0" customHeight="1">
      <c r="A568" s="5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9.0" customHeight="1">
      <c r="A569" s="5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9.0" customHeight="1">
      <c r="A570" s="5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9.0" customHeight="1">
      <c r="A571" s="5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9.0" customHeight="1">
      <c r="A572" s="5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9.0" customHeight="1">
      <c r="A573" s="5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9.0" customHeight="1">
      <c r="A574" s="5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9.0" customHeight="1">
      <c r="A575" s="5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9.0" customHeight="1">
      <c r="A576" s="5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9.0" customHeight="1">
      <c r="A577" s="5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9.0" customHeight="1">
      <c r="A578" s="5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9.0" customHeight="1">
      <c r="A579" s="5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9.0" customHeight="1">
      <c r="A580" s="5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9.0" customHeight="1">
      <c r="A581" s="5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9.0" customHeight="1">
      <c r="A582" s="5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9.0" customHeight="1">
      <c r="A583" s="5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9.0" customHeight="1">
      <c r="A584" s="5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9.0" customHeight="1">
      <c r="A585" s="5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9.0" customHeight="1">
      <c r="A586" s="5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9.0" customHeight="1">
      <c r="A587" s="5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9.0" customHeight="1">
      <c r="A588" s="5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9.0" customHeight="1">
      <c r="A589" s="5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9.0" customHeight="1">
      <c r="A590" s="5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9.0" customHeight="1">
      <c r="A591" s="5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9.0" customHeight="1">
      <c r="A592" s="5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9.0" customHeight="1">
      <c r="A593" s="5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9.0" customHeight="1">
      <c r="A594" s="5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9.0" customHeight="1">
      <c r="A595" s="5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9.0" customHeight="1">
      <c r="A596" s="5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9.0" customHeight="1">
      <c r="A597" s="5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9.0" customHeight="1">
      <c r="A598" s="5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9.0" customHeight="1">
      <c r="A599" s="5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9.0" customHeight="1">
      <c r="A600" s="5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9.0" customHeight="1">
      <c r="A601" s="5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9.0" customHeight="1">
      <c r="A602" s="5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9.0" customHeight="1">
      <c r="A603" s="5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9.0" customHeight="1">
      <c r="A604" s="5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9.0" customHeight="1">
      <c r="A605" s="5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9.0" customHeight="1">
      <c r="A606" s="5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9.0" customHeight="1">
      <c r="A607" s="5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9.0" customHeight="1">
      <c r="A608" s="5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9.0" customHeight="1">
      <c r="A609" s="5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9.0" customHeight="1">
      <c r="A610" s="5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9.0" customHeight="1">
      <c r="A611" s="5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9.0" customHeight="1">
      <c r="A612" s="5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9.0" customHeight="1">
      <c r="A613" s="5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9.0" customHeight="1">
      <c r="A614" s="5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9.0" customHeight="1">
      <c r="A615" s="5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9.0" customHeight="1">
      <c r="A616" s="5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9.0" customHeight="1">
      <c r="A617" s="5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9.0" customHeight="1">
      <c r="A618" s="5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9.0" customHeight="1">
      <c r="A619" s="5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9.0" customHeight="1">
      <c r="A620" s="5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9.0" customHeight="1">
      <c r="A621" s="5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9.0" customHeight="1">
      <c r="A622" s="5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9.0" customHeight="1">
      <c r="A623" s="5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9.0" customHeight="1">
      <c r="A624" s="5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9.0" customHeight="1">
      <c r="A625" s="5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9.0" customHeight="1">
      <c r="A626" s="5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9.0" customHeight="1">
      <c r="A627" s="5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9.0" customHeight="1">
      <c r="A628" s="5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9.0" customHeight="1">
      <c r="A629" s="5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9.0" customHeight="1">
      <c r="A630" s="5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9.0" customHeight="1">
      <c r="A631" s="5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9.0" customHeight="1">
      <c r="A632" s="5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9.0" customHeight="1">
      <c r="A633" s="5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9.0" customHeight="1">
      <c r="A634" s="5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9.0" customHeight="1">
      <c r="A635" s="5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9.0" customHeight="1">
      <c r="A636" s="5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9.0" customHeight="1">
      <c r="A637" s="5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9.0" customHeight="1">
      <c r="A638" s="5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9.0" customHeight="1">
      <c r="A639" s="5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9.0" customHeight="1">
      <c r="A640" s="5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9.0" customHeight="1">
      <c r="A641" s="5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9.0" customHeight="1">
      <c r="A642" s="5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9.0" customHeight="1">
      <c r="A643" s="5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9.0" customHeight="1">
      <c r="A644" s="5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9.0" customHeight="1">
      <c r="A645" s="5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9.0" customHeight="1">
      <c r="A646" s="5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9.0" customHeight="1">
      <c r="A647" s="5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9.0" customHeight="1">
      <c r="A648" s="5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9.0" customHeight="1">
      <c r="A649" s="5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9.0" customHeight="1">
      <c r="A650" s="5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9.0" customHeight="1">
      <c r="A651" s="5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9.0" customHeight="1">
      <c r="A652" s="5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9.0" customHeight="1">
      <c r="A653" s="5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9.0" customHeight="1">
      <c r="A654" s="5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9.0" customHeight="1">
      <c r="A655" s="5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9.0" customHeight="1">
      <c r="A656" s="5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9.0" customHeight="1">
      <c r="A657" s="5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9.0" customHeight="1">
      <c r="A658" s="5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9.0" customHeight="1">
      <c r="A659" s="5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9.0" customHeight="1">
      <c r="A660" s="5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9.0" customHeight="1">
      <c r="A661" s="5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9.0" customHeight="1">
      <c r="A662" s="5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9.0" customHeight="1">
      <c r="A663" s="5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9.0" customHeight="1">
      <c r="A664" s="5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9.0" customHeight="1">
      <c r="A665" s="5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9.0" customHeight="1">
      <c r="A666" s="5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9.0" customHeight="1">
      <c r="A667" s="5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9.0" customHeight="1">
      <c r="A668" s="5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9.0" customHeight="1">
      <c r="A669" s="5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9.0" customHeight="1">
      <c r="A670" s="5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9.0" customHeight="1">
      <c r="A671" s="5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9.0" customHeight="1">
      <c r="A672" s="5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9.0" customHeight="1">
      <c r="A673" s="5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9.0" customHeight="1">
      <c r="A674" s="5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9.0" customHeight="1">
      <c r="A675" s="5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9.0" customHeight="1">
      <c r="A676" s="5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9.0" customHeight="1">
      <c r="A677" s="5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9.0" customHeight="1">
      <c r="A678" s="5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9.0" customHeight="1">
      <c r="A679" s="5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9.0" customHeight="1">
      <c r="A680" s="5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9.0" customHeight="1">
      <c r="A681" s="5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9.0" customHeight="1">
      <c r="A682" s="5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9.0" customHeight="1">
      <c r="A683" s="5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9.0" customHeight="1">
      <c r="A684" s="5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9.0" customHeight="1">
      <c r="A685" s="5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9.0" customHeight="1">
      <c r="A686" s="5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9.0" customHeight="1">
      <c r="A687" s="5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9.0" customHeight="1">
      <c r="A688" s="5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9.0" customHeight="1">
      <c r="A689" s="5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9.0" customHeight="1">
      <c r="A690" s="5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9.0" customHeight="1">
      <c r="A691" s="5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9.0" customHeight="1">
      <c r="A692" s="5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9.0" customHeight="1">
      <c r="A693" s="5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9.0" customHeight="1">
      <c r="A694" s="5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9.0" customHeight="1">
      <c r="A695" s="5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9.0" customHeight="1">
      <c r="A696" s="5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9.0" customHeight="1">
      <c r="A697" s="5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9.0" customHeight="1">
      <c r="A698" s="5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9.0" customHeight="1">
      <c r="A699" s="5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9.0" customHeight="1">
      <c r="A700" s="5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9.0" customHeight="1">
      <c r="A701" s="5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9.0" customHeight="1">
      <c r="A702" s="5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9.0" customHeight="1">
      <c r="A703" s="5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9.0" customHeight="1">
      <c r="A704" s="5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9.0" customHeight="1">
      <c r="A705" s="5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9.0" customHeight="1">
      <c r="A706" s="5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9.0" customHeight="1">
      <c r="A707" s="5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9.0" customHeight="1">
      <c r="A708" s="5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9.0" customHeight="1">
      <c r="A709" s="5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9.0" customHeight="1">
      <c r="A710" s="5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9.0" customHeight="1">
      <c r="A711" s="5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9.0" customHeight="1">
      <c r="A712" s="5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9.0" customHeight="1">
      <c r="A713" s="5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9.0" customHeight="1">
      <c r="A714" s="5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9.0" customHeight="1">
      <c r="A715" s="5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9.0" customHeight="1">
      <c r="A716" s="5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9.0" customHeight="1">
      <c r="A717" s="5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9.0" customHeight="1">
      <c r="A718" s="5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9.0" customHeight="1">
      <c r="A719" s="5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9.0" customHeight="1">
      <c r="A720" s="5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9.0" customHeight="1">
      <c r="A721" s="5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9.0" customHeight="1">
      <c r="A722" s="5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9.0" customHeight="1">
      <c r="A723" s="5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9.0" customHeight="1">
      <c r="A724" s="5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9.0" customHeight="1">
      <c r="A725" s="5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9.0" customHeight="1">
      <c r="A726" s="5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9.0" customHeight="1">
      <c r="A727" s="5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9.0" customHeight="1">
      <c r="A728" s="5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9.0" customHeight="1">
      <c r="A729" s="5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9.0" customHeight="1">
      <c r="A730" s="5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9.0" customHeight="1">
      <c r="A731" s="5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9.0" customHeight="1">
      <c r="A732" s="5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9.0" customHeight="1">
      <c r="A733" s="5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9.0" customHeight="1">
      <c r="A734" s="5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9.0" customHeight="1">
      <c r="A735" s="5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9.0" customHeight="1">
      <c r="A736" s="5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9.0" customHeight="1">
      <c r="A737" s="5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9.0" customHeight="1">
      <c r="A738" s="5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9.0" customHeight="1">
      <c r="A739" s="5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9.0" customHeight="1">
      <c r="A740" s="5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9.0" customHeight="1">
      <c r="A741" s="5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9.0" customHeight="1">
      <c r="A742" s="5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9.0" customHeight="1">
      <c r="A743" s="5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9.0" customHeight="1">
      <c r="A744" s="5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9.0" customHeight="1">
      <c r="A745" s="5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9.0" customHeight="1">
      <c r="A746" s="5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9.0" customHeight="1">
      <c r="A747" s="5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9.0" customHeight="1">
      <c r="A748" s="5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9.0" customHeight="1">
      <c r="A749" s="5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9.0" customHeight="1">
      <c r="A750" s="5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9.0" customHeight="1">
      <c r="A751" s="5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9.0" customHeight="1">
      <c r="A752" s="5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9.0" customHeight="1">
      <c r="A753" s="5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9.0" customHeight="1">
      <c r="A754" s="5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9.0" customHeight="1">
      <c r="A755" s="5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9.0" customHeight="1">
      <c r="A756" s="5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9.0" customHeight="1">
      <c r="A757" s="5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9.0" customHeight="1">
      <c r="A758" s="5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9.0" customHeight="1">
      <c r="A759" s="5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9.0" customHeight="1">
      <c r="A760" s="5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9.0" customHeight="1">
      <c r="A761" s="5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9.0" customHeight="1">
      <c r="A762" s="5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9.0" customHeight="1">
      <c r="A763" s="5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9.0" customHeight="1">
      <c r="A764" s="5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9.0" customHeight="1">
      <c r="A765" s="5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9.0" customHeight="1">
      <c r="A766" s="5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9.0" customHeight="1">
      <c r="A767" s="5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9.0" customHeight="1">
      <c r="A768" s="5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9.0" customHeight="1">
      <c r="A769" s="5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9.0" customHeight="1">
      <c r="A770" s="5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9.0" customHeight="1">
      <c r="A771" s="5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9.0" customHeight="1">
      <c r="A772" s="5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9.0" customHeight="1">
      <c r="A773" s="5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9.0" customHeight="1">
      <c r="A774" s="5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9.0" customHeight="1">
      <c r="A775" s="5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9.0" customHeight="1">
      <c r="A776" s="5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9.0" customHeight="1">
      <c r="A777" s="5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9.0" customHeight="1">
      <c r="A778" s="5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9.0" customHeight="1">
      <c r="A779" s="5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9.0" customHeight="1">
      <c r="A780" s="5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9.0" customHeight="1">
      <c r="A781" s="5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9.0" customHeight="1">
      <c r="A782" s="5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9.0" customHeight="1">
      <c r="A783" s="5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9.0" customHeight="1">
      <c r="A784" s="5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9.0" customHeight="1">
      <c r="A785" s="5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9.0" customHeight="1">
      <c r="A786" s="5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9.0" customHeight="1">
      <c r="A787" s="5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9.0" customHeight="1">
      <c r="A788" s="5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9.0" customHeight="1">
      <c r="A789" s="5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9.0" customHeight="1">
      <c r="A790" s="5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9.0" customHeight="1">
      <c r="A791" s="5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9.0" customHeight="1">
      <c r="A792" s="5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9.0" customHeight="1">
      <c r="A793" s="5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9.0" customHeight="1">
      <c r="A794" s="5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9.0" customHeight="1">
      <c r="A795" s="5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9.0" customHeight="1">
      <c r="A796" s="5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9.0" customHeight="1">
      <c r="A797" s="5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9.0" customHeight="1">
      <c r="A798" s="5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9.0" customHeight="1">
      <c r="A799" s="5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9.0" customHeight="1">
      <c r="A800" s="5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9.0" customHeight="1">
      <c r="A801" s="5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9.0" customHeight="1">
      <c r="A802" s="5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9.0" customHeight="1">
      <c r="A803" s="5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9.0" customHeight="1">
      <c r="A804" s="5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9.0" customHeight="1">
      <c r="A805" s="5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9.0" customHeight="1">
      <c r="A806" s="5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9.0" customHeight="1">
      <c r="A807" s="5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9.0" customHeight="1">
      <c r="A808" s="5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9.0" customHeight="1">
      <c r="A809" s="5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9.0" customHeight="1">
      <c r="A810" s="5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9.0" customHeight="1">
      <c r="A811" s="5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9.0" customHeight="1">
      <c r="A812" s="5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9.0" customHeight="1">
      <c r="A813" s="5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9.0" customHeight="1">
      <c r="A814" s="5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9.0" customHeight="1">
      <c r="A815" s="5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9.0" customHeight="1">
      <c r="A816" s="5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9.0" customHeight="1">
      <c r="A817" s="5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9.0" customHeight="1">
      <c r="A818" s="5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9.0" customHeight="1">
      <c r="A819" s="5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9.0" customHeight="1">
      <c r="A820" s="5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9.0" customHeight="1">
      <c r="A821" s="5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9.0" customHeight="1">
      <c r="A822" s="5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9.0" customHeight="1">
      <c r="A823" s="5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9.0" customHeight="1">
      <c r="A824" s="5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9.0" customHeight="1">
      <c r="A825" s="5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9.0" customHeight="1">
      <c r="A826" s="5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9.0" customHeight="1">
      <c r="A827" s="5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9.0" customHeight="1">
      <c r="A828" s="5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9.0" customHeight="1">
      <c r="A829" s="5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9.0" customHeight="1">
      <c r="A830" s="5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9.0" customHeight="1">
      <c r="A831" s="5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9.0" customHeight="1">
      <c r="A832" s="5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9.0" customHeight="1">
      <c r="A833" s="5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9.0" customHeight="1">
      <c r="A834" s="5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9.0" customHeight="1">
      <c r="A835" s="5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9.0" customHeight="1">
      <c r="A836" s="5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9.0" customHeight="1">
      <c r="A837" s="5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9.0" customHeight="1">
      <c r="A838" s="5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9.0" customHeight="1">
      <c r="A839" s="5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9.0" customHeight="1">
      <c r="A840" s="5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9.0" customHeight="1">
      <c r="A841" s="5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9.0" customHeight="1">
      <c r="A842" s="5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9.0" customHeight="1">
      <c r="A843" s="5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9.0" customHeight="1">
      <c r="A844" s="5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9.0" customHeight="1">
      <c r="A845" s="5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9.0" customHeight="1">
      <c r="A846" s="5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9.0" customHeight="1">
      <c r="A847" s="5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9.0" customHeight="1">
      <c r="A848" s="5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9.0" customHeight="1">
      <c r="A849" s="5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9.0" customHeight="1">
      <c r="A850" s="5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9.0" customHeight="1">
      <c r="A851" s="5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9.0" customHeight="1">
      <c r="A852" s="5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9.0" customHeight="1">
      <c r="A853" s="5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9.0" customHeight="1">
      <c r="A854" s="5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9.0" customHeight="1">
      <c r="A855" s="5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9.0" customHeight="1">
      <c r="A856" s="5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9.0" customHeight="1">
      <c r="A857" s="5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9.0" customHeight="1">
      <c r="A858" s="5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9.0" customHeight="1">
      <c r="A859" s="5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9.0" customHeight="1">
      <c r="A860" s="5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9.0" customHeight="1">
      <c r="A861" s="5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9.0" customHeight="1">
      <c r="A862" s="5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9.0" customHeight="1">
      <c r="A863" s="5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9.0" customHeight="1">
      <c r="A864" s="5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9.0" customHeight="1">
      <c r="A865" s="5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9.0" customHeight="1">
      <c r="A866" s="5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9.0" customHeight="1">
      <c r="A867" s="5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9.0" customHeight="1">
      <c r="A868" s="5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9.0" customHeight="1">
      <c r="A869" s="5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9.0" customHeight="1">
      <c r="A870" s="5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9.0" customHeight="1">
      <c r="A871" s="5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9.0" customHeight="1">
      <c r="A872" s="5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9.0" customHeight="1">
      <c r="A873" s="5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9.0" customHeight="1">
      <c r="A874" s="5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9.0" customHeight="1">
      <c r="A875" s="5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9.0" customHeight="1">
      <c r="A876" s="5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9.0" customHeight="1">
      <c r="A877" s="5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9.0" customHeight="1">
      <c r="A878" s="5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9.0" customHeight="1">
      <c r="A879" s="5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9.0" customHeight="1">
      <c r="A880" s="5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9.0" customHeight="1">
      <c r="A881" s="5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9.0" customHeight="1">
      <c r="A882" s="5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9.0" customHeight="1">
      <c r="A883" s="5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9.0" customHeight="1">
      <c r="A884" s="5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9.0" customHeight="1">
      <c r="A885" s="5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9.0" customHeight="1">
      <c r="A886" s="5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9.0" customHeight="1">
      <c r="A887" s="5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9.0" customHeight="1">
      <c r="A888" s="5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9.0" customHeight="1">
      <c r="A889" s="5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9.0" customHeight="1">
      <c r="A890" s="5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9.0" customHeight="1">
      <c r="A891" s="5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9.0" customHeight="1">
      <c r="A892" s="5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9.0" customHeight="1">
      <c r="A893" s="5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9.0" customHeight="1">
      <c r="A894" s="5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9.0" customHeight="1">
      <c r="A895" s="5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9.0" customHeight="1">
      <c r="A896" s="5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9.0" customHeight="1">
      <c r="A897" s="5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9.0" customHeight="1">
      <c r="A898" s="5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9.0" customHeight="1">
      <c r="A899" s="5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9.0" customHeight="1">
      <c r="A900" s="5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9.0" customHeight="1">
      <c r="A901" s="5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9.0" customHeight="1">
      <c r="A902" s="5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9.0" customHeight="1">
      <c r="A903" s="5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9.0" customHeight="1">
      <c r="A904" s="5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9.0" customHeight="1">
      <c r="A905" s="5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9.0" customHeight="1">
      <c r="A906" s="5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9.0" customHeight="1">
      <c r="A907" s="5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9.0" customHeight="1">
      <c r="A908" s="5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9.0" customHeight="1">
      <c r="A909" s="5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9.0" customHeight="1">
      <c r="A910" s="5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9.0" customHeight="1">
      <c r="A911" s="5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9.0" customHeight="1">
      <c r="A912" s="5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9.0" customHeight="1">
      <c r="A913" s="5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9.0" customHeight="1">
      <c r="A914" s="5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9.0" customHeight="1">
      <c r="A915" s="5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9.0" customHeight="1">
      <c r="A916" s="5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9.0" customHeight="1">
      <c r="A917" s="5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9.0" customHeight="1">
      <c r="A918" s="5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9.0" customHeight="1">
      <c r="A919" s="5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9.0" customHeight="1">
      <c r="A920" s="5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9.0" customHeight="1">
      <c r="A921" s="5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9.0" customHeight="1">
      <c r="A922" s="5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9.0" customHeight="1">
      <c r="A923" s="5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9.0" customHeight="1">
      <c r="A924" s="5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9.0" customHeight="1">
      <c r="A925" s="5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9.0" customHeight="1">
      <c r="A926" s="5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9.0" customHeight="1">
      <c r="A927" s="5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9.0" customHeight="1">
      <c r="A928" s="5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9.0" customHeight="1">
      <c r="A929" s="5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9.0" customHeight="1">
      <c r="A930" s="5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9.0" customHeight="1">
      <c r="A931" s="5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9.0" customHeight="1">
      <c r="A932" s="5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9.0" customHeight="1">
      <c r="A933" s="5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9.0" customHeight="1">
      <c r="A934" s="5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9.0" customHeight="1">
      <c r="A935" s="5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9.0" customHeight="1">
      <c r="A936" s="5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9.0" customHeight="1">
      <c r="A937" s="5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9.0" customHeight="1">
      <c r="A938" s="5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9.0" customHeight="1">
      <c r="A939" s="5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9.0" customHeight="1">
      <c r="A940" s="5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9.0" customHeight="1">
      <c r="A941" s="5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9.0" customHeight="1">
      <c r="A942" s="5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9.0" customHeight="1">
      <c r="A943" s="5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9.0" customHeight="1">
      <c r="A944" s="5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9.0" customHeight="1">
      <c r="A945" s="5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9.0" customHeight="1">
      <c r="A946" s="5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9.0" customHeight="1">
      <c r="A947" s="5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9.0" customHeight="1">
      <c r="A948" s="5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9.0" customHeight="1">
      <c r="A949" s="5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9.0" customHeight="1">
      <c r="A950" s="5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9.0" customHeight="1">
      <c r="A951" s="5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9.0" customHeight="1">
      <c r="A952" s="5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9.0" customHeight="1">
      <c r="A953" s="5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9.0" customHeight="1">
      <c r="A954" s="5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9.0" customHeight="1">
      <c r="A955" s="5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9.0" customHeight="1">
      <c r="A956" s="5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9.0" customHeight="1">
      <c r="A957" s="5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9.0" customHeight="1">
      <c r="A958" s="5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9.0" customHeight="1">
      <c r="A959" s="5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9.0" customHeight="1">
      <c r="A960" s="5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9.0" customHeight="1">
      <c r="A961" s="5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9.0" customHeight="1">
      <c r="A962" s="5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9.0" customHeight="1">
      <c r="A963" s="5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9.0" customHeight="1">
      <c r="A964" s="5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9.0" customHeight="1">
      <c r="A965" s="5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9.0" customHeight="1">
      <c r="A966" s="5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9.0" customHeight="1">
      <c r="A967" s="5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9.0" customHeight="1">
      <c r="A968" s="5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9.0" customHeight="1">
      <c r="A969" s="5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9.0" customHeight="1">
      <c r="A970" s="5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9.0" customHeight="1">
      <c r="A971" s="5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9.0" customHeight="1">
      <c r="A972" s="5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9.0" customHeight="1">
      <c r="A973" s="5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9.0" customHeight="1">
      <c r="A974" s="5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9.0" customHeight="1">
      <c r="A975" s="5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9.0" customHeight="1">
      <c r="A976" s="5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9.0" customHeight="1">
      <c r="A977" s="5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9.0" customHeight="1">
      <c r="A978" s="5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9.0" customHeight="1">
      <c r="A979" s="5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9.0" customHeight="1">
      <c r="A980" s="5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9.0" customHeight="1">
      <c r="A981" s="5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9.0" customHeight="1">
      <c r="A982" s="5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9.0" customHeight="1">
      <c r="A983" s="5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9.0" customHeight="1">
      <c r="A984" s="5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9.0" customHeight="1">
      <c r="A985" s="5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9.0" customHeight="1">
      <c r="A986" s="5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9.0" customHeight="1">
      <c r="A987" s="5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9.0" customHeight="1">
      <c r="A988" s="5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9.0" customHeight="1">
      <c r="A989" s="5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9.0" customHeight="1">
      <c r="A990" s="5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9.0" customHeight="1">
      <c r="A991" s="5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9.0" customHeight="1">
      <c r="A992" s="5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9.0" customHeight="1">
      <c r="A993" s="5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9.0" customHeight="1">
      <c r="A994" s="5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9.0" customHeight="1">
      <c r="A995" s="5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9.0" customHeight="1">
      <c r="A996" s="5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9.0" customHeight="1">
      <c r="A997" s="5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>
      <c r="A998" s="71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</row>
    <row r="999">
      <c r="A999" s="71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</row>
    <row r="1000">
      <c r="A1000" s="71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</row>
  </sheetData>
  <mergeCells count="27">
    <mergeCell ref="A1:C3"/>
    <mergeCell ref="D1:F1"/>
    <mergeCell ref="H1:I1"/>
    <mergeCell ref="D2:F3"/>
    <mergeCell ref="H2:I2"/>
    <mergeCell ref="H3:I3"/>
    <mergeCell ref="E4:I4"/>
    <mergeCell ref="A6:D6"/>
    <mergeCell ref="B7:D8"/>
    <mergeCell ref="A45:F48"/>
    <mergeCell ref="B50:E50"/>
    <mergeCell ref="B52:E52"/>
    <mergeCell ref="B53:E53"/>
    <mergeCell ref="E7:F7"/>
    <mergeCell ref="G7:G10"/>
    <mergeCell ref="E8:F8"/>
    <mergeCell ref="E9:F9"/>
    <mergeCell ref="H7:H10"/>
    <mergeCell ref="I7:I10"/>
    <mergeCell ref="A4:D4"/>
    <mergeCell ref="A5:D5"/>
    <mergeCell ref="E5:F5"/>
    <mergeCell ref="G5:I5"/>
    <mergeCell ref="E6:F6"/>
    <mergeCell ref="G6:I6"/>
    <mergeCell ref="A7:A10"/>
    <mergeCell ref="B9:D9"/>
  </mergeCells>
  <printOptions horizontalCentered="1" verticalCentered="1"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5.14"/>
    <col customWidth="1" min="4" max="26" width="11.43"/>
  </cols>
  <sheetData>
    <row r="1">
      <c r="A1" s="74" t="s">
        <v>41</v>
      </c>
      <c r="B1" s="75"/>
      <c r="C1" s="76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8" t="s">
        <v>42</v>
      </c>
      <c r="B2" s="79" t="s">
        <v>43</v>
      </c>
      <c r="C2" s="80" t="s">
        <v>44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81" t="s">
        <v>45</v>
      </c>
      <c r="B3" s="82"/>
      <c r="C3" s="83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81" t="s">
        <v>46</v>
      </c>
      <c r="B4" s="82"/>
      <c r="C4" s="83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81" t="s">
        <v>47</v>
      </c>
      <c r="B5" s="82"/>
      <c r="C5" s="83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81" t="s">
        <v>48</v>
      </c>
      <c r="B6" s="82"/>
      <c r="C6" s="83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81" t="s">
        <v>49</v>
      </c>
      <c r="B7" s="82"/>
      <c r="C7" s="83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81" t="s">
        <v>50</v>
      </c>
      <c r="B8" s="82"/>
      <c r="C8" s="83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81" t="s">
        <v>51</v>
      </c>
      <c r="B9" s="82"/>
      <c r="C9" s="83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81" t="s">
        <v>52</v>
      </c>
      <c r="B10" s="82"/>
      <c r="C10" s="83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81" t="s">
        <v>53</v>
      </c>
      <c r="B11" s="82"/>
      <c r="C11" s="83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81" t="s">
        <v>54</v>
      </c>
      <c r="B12" s="82"/>
      <c r="C12" s="83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81" t="s">
        <v>55</v>
      </c>
      <c r="B13" s="82"/>
      <c r="C13" s="83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84" t="s">
        <v>56</v>
      </c>
      <c r="B14" s="85"/>
      <c r="C14" s="86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5.75" customHeight="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5.7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5.75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5.7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5.7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5.7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5.7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5.7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5.75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5.7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5.7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5.7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5.7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5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5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5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1">
    <mergeCell ref="A1:C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71"/>
    <col customWidth="1" min="3" max="3" width="16.43"/>
    <col customWidth="1" min="4" max="4" width="13.43"/>
    <col customWidth="1" min="5" max="5" width="15.43"/>
    <col customWidth="1" min="6" max="26" width="11.43"/>
  </cols>
  <sheetData>
    <row r="1">
      <c r="A1" s="87" t="s">
        <v>57</v>
      </c>
      <c r="B1" s="88"/>
      <c r="C1" s="88"/>
      <c r="D1" s="88"/>
      <c r="E1" s="89"/>
      <c r="F1" s="90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91" t="s">
        <v>42</v>
      </c>
      <c r="B2" s="92" t="s">
        <v>58</v>
      </c>
      <c r="C2" s="93"/>
      <c r="D2" s="92" t="s">
        <v>59</v>
      </c>
      <c r="E2" s="93"/>
      <c r="F2" s="90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94"/>
      <c r="B3" s="95" t="s">
        <v>60</v>
      </c>
      <c r="C3" s="96" t="s">
        <v>61</v>
      </c>
      <c r="D3" s="95" t="s">
        <v>62</v>
      </c>
      <c r="E3" s="97" t="s">
        <v>63</v>
      </c>
      <c r="F3" s="90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98" t="s">
        <v>64</v>
      </c>
      <c r="B4" s="99"/>
      <c r="C4" s="100"/>
      <c r="D4" s="99"/>
      <c r="E4" s="100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98" t="s">
        <v>46</v>
      </c>
      <c r="B5" s="81"/>
      <c r="C5" s="83"/>
      <c r="D5" s="81"/>
      <c r="E5" s="83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98" t="s">
        <v>47</v>
      </c>
      <c r="B6" s="81"/>
      <c r="C6" s="83"/>
      <c r="D6" s="81"/>
      <c r="E6" s="83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98" t="s">
        <v>48</v>
      </c>
      <c r="B7" s="81"/>
      <c r="C7" s="83"/>
      <c r="D7" s="81"/>
      <c r="E7" s="83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98" t="s">
        <v>49</v>
      </c>
      <c r="B8" s="81"/>
      <c r="C8" s="83"/>
      <c r="D8" s="81"/>
      <c r="E8" s="83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98" t="s">
        <v>50</v>
      </c>
      <c r="B9" s="81"/>
      <c r="C9" s="83"/>
      <c r="D9" s="81"/>
      <c r="E9" s="83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98" t="s">
        <v>51</v>
      </c>
      <c r="B10" s="81"/>
      <c r="C10" s="83"/>
      <c r="D10" s="81"/>
      <c r="E10" s="83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98" t="s">
        <v>52</v>
      </c>
      <c r="B11" s="81"/>
      <c r="C11" s="83"/>
      <c r="D11" s="81"/>
      <c r="E11" s="83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98" t="s">
        <v>53</v>
      </c>
      <c r="B12" s="81"/>
      <c r="C12" s="83"/>
      <c r="D12" s="81"/>
      <c r="E12" s="83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98" t="s">
        <v>54</v>
      </c>
      <c r="B13" s="81"/>
      <c r="C13" s="83"/>
      <c r="D13" s="81"/>
      <c r="E13" s="83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98" t="s">
        <v>55</v>
      </c>
      <c r="B14" s="81"/>
      <c r="C14" s="83"/>
      <c r="D14" s="81"/>
      <c r="E14" s="83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101" t="s">
        <v>56</v>
      </c>
      <c r="B15" s="84"/>
      <c r="C15" s="86"/>
      <c r="D15" s="84"/>
      <c r="E15" s="86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102" t="s">
        <v>65</v>
      </c>
      <c r="B17" s="57"/>
      <c r="C17" s="57"/>
      <c r="D17" s="57"/>
      <c r="E17" s="57"/>
      <c r="F17" s="103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104"/>
      <c r="F18" s="105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106"/>
      <c r="B19" s="107"/>
      <c r="C19" s="107"/>
      <c r="D19" s="107"/>
      <c r="E19" s="107"/>
      <c r="F19" s="108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5.75" customHeight="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5.7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5.75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5.7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5.7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5.7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5.7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5.7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5.75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5.7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5.7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5.7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5.7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5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5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5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5">
    <mergeCell ref="A1:E1"/>
    <mergeCell ref="A2:A3"/>
    <mergeCell ref="B2:C2"/>
    <mergeCell ref="D2:E2"/>
    <mergeCell ref="A17:F19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2009-12-15T13:23:22Z</dcterms:created>
  <dc:creator>Niko</dc:creator>
</cp:coreProperties>
</file>