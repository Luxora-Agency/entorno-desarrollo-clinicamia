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H1 DIARIO" sheetId="1" r:id="rId4"/>
  </sheets>
  <definedNames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DAY_FORMAT">#REF!</definedName>
    <definedName name="LOCAL_SECOND_FORMAT">#REF!</definedName>
    <definedName name="LOCAL_MONTH_FORMAT">#REF!</definedName>
    <definedName name="LOCAL_HOUR_FORMAT">#REF!</definedName>
    <definedName name="LOCAL_YEAR_FORMAT">#REF!</definedName>
    <definedName name="LOCAL_MINUTE_FORMAT">#REF!</definedName>
    <definedName name="LOCAL_DATE_SEPARATOR">#REF!</definedName>
    <definedName name="LOCAL_TIME_SEPARATOR">#REF!</definedName>
  </definedNames>
  <calcPr/>
  <extLst>
    <ext uri="GoogleSheetsCustomDataVersion2">
      <go:sheetsCustomData xmlns:go="http://customooxmlschemas.google.com/" r:id="rId5" roundtripDataChecksum="pWF/5+mZ+5XxdAhu5Tk0FDFC6XppzRh2mGRf99cWCLM="/>
    </ext>
  </extLst>
</workbook>
</file>

<file path=xl/sharedStrings.xml><?xml version="1.0" encoding="utf-8"?>
<sst xmlns="http://schemas.openxmlformats.org/spreadsheetml/2006/main" count="22" uniqueCount="22">
  <si>
    <t>FORMULARIO RH1</t>
  </si>
  <si>
    <t>Código: EH-F-025
Emisión: ago 2023
Versión: 1</t>
  </si>
  <si>
    <t>AÑO:</t>
  </si>
  <si>
    <t>MES:</t>
  </si>
  <si>
    <t>DÍA</t>
  </si>
  <si>
    <t>CANTIDAD DE RESIDUOS NO PELIGROSOS GENERADOS (kg/DIA)</t>
  </si>
  <si>
    <t>CANTIDAD DE RESIDUOS PELIGROSOS GENERADOS (kg/DIA)</t>
  </si>
  <si>
    <t>PRODUCCION TOTAL DE RESIDUOS NO PELIGROSOS (KG)</t>
  </si>
  <si>
    <t>PRODUCCION TOTAL DE RESIDUOS PELIGROSOS (KG)</t>
  </si>
  <si>
    <t>PRODUCCION TOTAL DE RESIDUOS GENERADOS (KG)</t>
  </si>
  <si>
    <t>RESIDUOS INFECCIOSOS</t>
  </si>
  <si>
    <t>Aprovechables</t>
  </si>
  <si>
    <t>No Aprovechables</t>
  </si>
  <si>
    <t>Biosanitarios</t>
  </si>
  <si>
    <t>Total MES</t>
  </si>
  <si>
    <t>Promedio Día</t>
  </si>
  <si>
    <t xml:space="preserve">ANALISIS: Describa la interpretación de los datos; Si genera otros residuos o realiza otro sistema de tratamiento especifiquelo. En caso de que no genere todos los tipos de residuos escritos en el formato coloque cero en todos los espacios. </t>
  </si>
  <si>
    <t>Residuos Ordinarios (No peligrosos)</t>
  </si>
  <si>
    <t>Residuos biodegradables (No peligrosos)</t>
  </si>
  <si>
    <t>Residuos Reciclables (No peligrosos)</t>
  </si>
  <si>
    <t>Residuos Biosanitarios, cortopunzantes, anatomopalogicos, químicos (Peligrosos)</t>
  </si>
  <si>
    <t>Radiactivos (peligrosos)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</si>
</sst>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3">
    <font>
      <sz val="11.0"/>
      <color theme="1"/>
      <name val="Calibri"/>
      <scheme val="minor"/>
    </font>
    <font>
      <b/>
      <sz val="16.0"/>
      <color theme="1"/>
      <name val="Calibri"/>
    </font>
    <font/>
    <font>
      <b/>
      <sz val="14.0"/>
      <color rgb="FF000000"/>
      <name val="Calibri"/>
    </font>
    <font>
      <sz val="7.0"/>
      <color theme="1"/>
      <name val="Calibri"/>
    </font>
    <font>
      <sz val="12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b/>
      <sz val="7.0"/>
      <color theme="1"/>
      <name val="Calibri"/>
    </font>
    <font>
      <sz val="9.0"/>
      <color theme="1"/>
      <name val="Calibri"/>
    </font>
    <font>
      <sz val="7.0"/>
      <color rgb="FF80008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FF99"/>
        <bgColor rgb="FFFFFF99"/>
      </patternFill>
    </fill>
    <fill>
      <patternFill patternType="solid">
        <fgColor rgb="FF969696"/>
        <bgColor rgb="FF969696"/>
      </patternFill>
    </fill>
    <fill>
      <patternFill patternType="solid">
        <fgColor rgb="FF800080"/>
        <bgColor rgb="FF800080"/>
      </patternFill>
    </fill>
  </fills>
  <borders count="2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3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5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center" wrapText="1"/>
    </xf>
    <xf borderId="9" fillId="0" fontId="6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0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9" fillId="2" fontId="8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shrinkToFit="0" vertical="center" wrapText="1"/>
    </xf>
    <xf borderId="9" fillId="4" fontId="8" numFmtId="0" xfId="0" applyAlignment="1" applyBorder="1" applyFill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0"/>
    </xf>
    <xf borderId="9" fillId="0" fontId="7" numFmtId="164" xfId="0" applyAlignment="1" applyBorder="1" applyFont="1" applyNumberFormat="1">
      <alignment shrinkToFit="0" vertical="bottom" wrapText="0"/>
    </xf>
    <xf borderId="9" fillId="0" fontId="7" numFmtId="0" xfId="0" applyAlignment="1" applyBorder="1" applyFont="1">
      <alignment horizontal="right" readingOrder="0" shrinkToFit="0" vertical="bottom" wrapText="1"/>
    </xf>
    <xf borderId="9" fillId="0" fontId="8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right" shrinkToFit="0" vertical="bottom" wrapText="1"/>
    </xf>
    <xf borderId="9" fillId="0" fontId="8" numFmtId="0" xfId="0" applyAlignment="1" applyBorder="1" applyFont="1">
      <alignment horizontal="center" shrinkToFit="0" vertical="center" wrapText="0"/>
    </xf>
    <xf borderId="9" fillId="0" fontId="8" numFmtId="164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14" fillId="0" fontId="4" numFmtId="0" xfId="0" applyAlignment="1" applyBorder="1" applyFont="1">
      <alignment shrinkToFit="0" vertical="bottom" wrapText="0"/>
    </xf>
    <xf borderId="15" fillId="0" fontId="4" numFmtId="164" xfId="0" applyAlignment="1" applyBorder="1" applyFont="1" applyNumberFormat="1">
      <alignment shrinkToFit="0" vertical="bottom" wrapText="0"/>
    </xf>
    <xf borderId="9" fillId="0" fontId="4" numFmtId="164" xfId="0" applyAlignment="1" applyBorder="1" applyFont="1" applyNumberFormat="1">
      <alignment shrinkToFit="0" vertical="bottom" wrapText="0"/>
    </xf>
    <xf borderId="0" fillId="0" fontId="11" numFmtId="0" xfId="0" applyAlignment="1" applyFont="1">
      <alignment horizontal="left" shrinkToFit="0" vertical="center" wrapText="1"/>
    </xf>
    <xf borderId="16" fillId="5" fontId="4" numFmtId="0" xfId="0" applyAlignment="1" applyBorder="1" applyFill="1" applyFont="1">
      <alignment shrinkToFit="0" vertical="bottom" wrapText="0"/>
    </xf>
    <xf borderId="17" fillId="0" fontId="11" numFmtId="0" xfId="0" applyAlignment="1" applyBorder="1" applyFont="1">
      <alignment horizontal="left" shrinkToFit="0" vertical="bottom" wrapText="0"/>
    </xf>
    <xf borderId="17" fillId="0" fontId="2" numFmtId="0" xfId="0" applyBorder="1" applyFont="1"/>
    <xf borderId="18" fillId="6" fontId="4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horizontal="left" shrinkToFit="0" vertical="bottom" wrapText="0"/>
    </xf>
    <xf borderId="18" fillId="7" fontId="4" numFmtId="0" xfId="0" applyAlignment="1" applyBorder="1" applyFill="1" applyFont="1">
      <alignment shrinkToFit="0" vertical="bottom" wrapText="0"/>
    </xf>
    <xf borderId="18" fillId="4" fontId="4" numFmtId="0" xfId="0" applyAlignment="1" applyBorder="1" applyFont="1">
      <alignment shrinkToFit="0" vertical="bottom" wrapText="0"/>
    </xf>
    <xf borderId="19" fillId="8" fontId="12" numFmtId="0" xfId="0" applyAlignment="1" applyBorder="1" applyFill="1" applyFont="1">
      <alignment shrinkToFit="0" vertical="bottom" wrapText="0"/>
    </xf>
    <xf borderId="20" fillId="0" fontId="11" numFmtId="0" xfId="0" applyAlignment="1" applyBorder="1" applyFont="1">
      <alignment shrinkToFit="0" vertical="bottom" wrapText="0"/>
    </xf>
    <xf borderId="20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33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3" width="16.57"/>
    <col customWidth="1" min="4" max="4" width="31.14"/>
    <col customWidth="1" min="5" max="6" width="18.43"/>
    <col customWidth="1" min="7" max="7" width="20.86"/>
    <col customWidth="1" min="8" max="25" width="10.0"/>
  </cols>
  <sheetData>
    <row r="1" ht="27.0" customHeight="1">
      <c r="A1" s="1"/>
      <c r="B1" s="2"/>
      <c r="C1" s="3" t="s">
        <v>0</v>
      </c>
      <c r="D1" s="4"/>
      <c r="E1" s="2"/>
      <c r="F1" s="5" t="s">
        <v>1</v>
      </c>
      <c r="G1" s="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7.0" customHeight="1">
      <c r="A2" s="7"/>
      <c r="B2" s="8"/>
      <c r="C2" s="7"/>
      <c r="E2" s="8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7.0" customHeight="1">
      <c r="A3" s="9"/>
      <c r="B3" s="10"/>
      <c r="C3" s="9"/>
      <c r="D3" s="11"/>
      <c r="E3" s="10"/>
      <c r="F3" s="11"/>
      <c r="G3" s="10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5.0" customHeight="1">
      <c r="A4" s="12"/>
      <c r="B4" s="12"/>
      <c r="C4" s="13"/>
      <c r="D4" s="13"/>
      <c r="E4" s="13"/>
      <c r="F4" s="13"/>
      <c r="G4" s="13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33.75" customHeight="1">
      <c r="A5" s="14" t="s">
        <v>2</v>
      </c>
      <c r="B5" s="14" t="s">
        <v>3</v>
      </c>
      <c r="C5" s="6"/>
      <c r="D5" s="6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39.75" customHeight="1">
      <c r="A6" s="16" t="s">
        <v>4</v>
      </c>
      <c r="B6" s="17" t="s">
        <v>5</v>
      </c>
      <c r="C6" s="4"/>
      <c r="D6" s="18" t="s">
        <v>6</v>
      </c>
      <c r="E6" s="16" t="s">
        <v>7</v>
      </c>
      <c r="F6" s="16" t="s">
        <v>8</v>
      </c>
      <c r="G6" s="16" t="s">
        <v>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39.75" customHeight="1">
      <c r="A7" s="19"/>
      <c r="B7" s="9"/>
      <c r="C7" s="11"/>
      <c r="D7" s="18" t="s">
        <v>10</v>
      </c>
      <c r="E7" s="19"/>
      <c r="F7" s="19"/>
      <c r="G7" s="1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43.5" customHeight="1">
      <c r="A8" s="20"/>
      <c r="B8" s="21" t="s">
        <v>11</v>
      </c>
      <c r="C8" s="22" t="s">
        <v>12</v>
      </c>
      <c r="D8" s="23" t="s">
        <v>13</v>
      </c>
      <c r="E8" s="20"/>
      <c r="F8" s="20"/>
      <c r="G8" s="20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9.5" customHeight="1">
      <c r="A9" s="24">
        <v>1.0</v>
      </c>
      <c r="B9" s="25"/>
      <c r="C9" s="25"/>
      <c r="D9" s="25"/>
      <c r="E9" s="25">
        <f t="shared" ref="E9:E41" si="1">+SUM(B9:C9)</f>
        <v>0</v>
      </c>
      <c r="F9" s="25">
        <f t="shared" ref="F9:F41" si="2">+SUM(D9)</f>
        <v>0</v>
      </c>
      <c r="G9" s="25">
        <f t="shared" ref="G9:G41" si="3">+E9+F9</f>
        <v>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9.5" customHeight="1">
      <c r="A10" s="24">
        <v>2.0</v>
      </c>
      <c r="B10" s="26">
        <v>0.5</v>
      </c>
      <c r="C10" s="27"/>
      <c r="D10" s="27"/>
      <c r="E10" s="25">
        <f t="shared" si="1"/>
        <v>0.5</v>
      </c>
      <c r="F10" s="25">
        <f t="shared" si="2"/>
        <v>0</v>
      </c>
      <c r="G10" s="25">
        <f t="shared" si="3"/>
        <v>0.5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9.5" customHeight="1">
      <c r="A11" s="24">
        <v>3.0</v>
      </c>
      <c r="B11" s="28"/>
      <c r="C11" s="27"/>
      <c r="D11" s="27"/>
      <c r="E11" s="25">
        <f t="shared" si="1"/>
        <v>0</v>
      </c>
      <c r="F11" s="25">
        <f t="shared" si="2"/>
        <v>0</v>
      </c>
      <c r="G11" s="25">
        <f t="shared" si="3"/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9.5" customHeight="1">
      <c r="A12" s="24">
        <v>4.0</v>
      </c>
      <c r="B12" s="25"/>
      <c r="C12" s="25"/>
      <c r="D12" s="25"/>
      <c r="E12" s="25">
        <f t="shared" si="1"/>
        <v>0</v>
      </c>
      <c r="F12" s="25">
        <f t="shared" si="2"/>
        <v>0</v>
      </c>
      <c r="G12" s="25">
        <f t="shared" si="3"/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9.5" customHeight="1">
      <c r="A13" s="24">
        <v>5.0</v>
      </c>
      <c r="B13" s="25"/>
      <c r="C13" s="25"/>
      <c r="D13" s="25"/>
      <c r="E13" s="25">
        <f t="shared" si="1"/>
        <v>0</v>
      </c>
      <c r="F13" s="25">
        <f t="shared" si="2"/>
        <v>0</v>
      </c>
      <c r="G13" s="25">
        <f t="shared" si="3"/>
        <v>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9.5" customHeight="1">
      <c r="A14" s="24">
        <v>6.0</v>
      </c>
      <c r="B14" s="25"/>
      <c r="C14" s="25"/>
      <c r="D14" s="25"/>
      <c r="E14" s="25">
        <f t="shared" si="1"/>
        <v>0</v>
      </c>
      <c r="F14" s="25">
        <f t="shared" si="2"/>
        <v>0</v>
      </c>
      <c r="G14" s="25">
        <f t="shared" si="3"/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9.5" customHeight="1">
      <c r="A15" s="24">
        <v>7.0</v>
      </c>
      <c r="B15" s="25"/>
      <c r="C15" s="25"/>
      <c r="D15" s="25"/>
      <c r="E15" s="25">
        <f t="shared" si="1"/>
        <v>0</v>
      </c>
      <c r="F15" s="25">
        <f t="shared" si="2"/>
        <v>0</v>
      </c>
      <c r="G15" s="25">
        <f t="shared" si="3"/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9.5" customHeight="1">
      <c r="A16" s="24">
        <v>8.0</v>
      </c>
      <c r="B16" s="25"/>
      <c r="C16" s="25"/>
      <c r="D16" s="25"/>
      <c r="E16" s="25">
        <f t="shared" si="1"/>
        <v>0</v>
      </c>
      <c r="F16" s="25">
        <f t="shared" si="2"/>
        <v>0</v>
      </c>
      <c r="G16" s="25">
        <f t="shared" si="3"/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9.5" customHeight="1">
      <c r="A17" s="24">
        <v>9.0</v>
      </c>
      <c r="B17" s="25"/>
      <c r="C17" s="25"/>
      <c r="D17" s="25"/>
      <c r="E17" s="25">
        <f t="shared" si="1"/>
        <v>0</v>
      </c>
      <c r="F17" s="25">
        <f t="shared" si="2"/>
        <v>0</v>
      </c>
      <c r="G17" s="25">
        <f t="shared" si="3"/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9.5" customHeight="1">
      <c r="A18" s="24">
        <v>10.0</v>
      </c>
      <c r="B18" s="25"/>
      <c r="C18" s="25"/>
      <c r="D18" s="25"/>
      <c r="E18" s="25">
        <f t="shared" si="1"/>
        <v>0</v>
      </c>
      <c r="F18" s="25">
        <f t="shared" si="2"/>
        <v>0</v>
      </c>
      <c r="G18" s="25">
        <f t="shared" si="3"/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9.5" customHeight="1">
      <c r="A19" s="24">
        <v>11.0</v>
      </c>
      <c r="B19" s="25"/>
      <c r="C19" s="25"/>
      <c r="D19" s="25"/>
      <c r="E19" s="25">
        <f t="shared" si="1"/>
        <v>0</v>
      </c>
      <c r="F19" s="25">
        <f t="shared" si="2"/>
        <v>0</v>
      </c>
      <c r="G19" s="25">
        <f t="shared" si="3"/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9.5" customHeight="1">
      <c r="A20" s="24">
        <v>12.0</v>
      </c>
      <c r="B20" s="25"/>
      <c r="C20" s="25"/>
      <c r="D20" s="25"/>
      <c r="E20" s="25">
        <f t="shared" si="1"/>
        <v>0</v>
      </c>
      <c r="F20" s="25">
        <f t="shared" si="2"/>
        <v>0</v>
      </c>
      <c r="G20" s="25">
        <f t="shared" si="3"/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9.5" customHeight="1">
      <c r="A21" s="24">
        <v>13.0</v>
      </c>
      <c r="B21" s="25"/>
      <c r="C21" s="25"/>
      <c r="D21" s="25"/>
      <c r="E21" s="25">
        <f t="shared" si="1"/>
        <v>0</v>
      </c>
      <c r="F21" s="25">
        <f t="shared" si="2"/>
        <v>0</v>
      </c>
      <c r="G21" s="25">
        <f t="shared" si="3"/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9.5" customHeight="1">
      <c r="A22" s="24">
        <v>14.0</v>
      </c>
      <c r="B22" s="25"/>
      <c r="C22" s="25"/>
      <c r="D22" s="25"/>
      <c r="E22" s="25">
        <f t="shared" si="1"/>
        <v>0</v>
      </c>
      <c r="F22" s="25">
        <f t="shared" si="2"/>
        <v>0</v>
      </c>
      <c r="G22" s="25">
        <f t="shared" si="3"/>
        <v>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9.5" customHeight="1">
      <c r="A23" s="24">
        <v>15.0</v>
      </c>
      <c r="B23" s="25"/>
      <c r="C23" s="25"/>
      <c r="D23" s="25"/>
      <c r="E23" s="25">
        <f t="shared" si="1"/>
        <v>0</v>
      </c>
      <c r="F23" s="25">
        <f t="shared" si="2"/>
        <v>0</v>
      </c>
      <c r="G23" s="25">
        <f t="shared" si="3"/>
        <v>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9.5" customHeight="1">
      <c r="A24" s="24">
        <v>16.0</v>
      </c>
      <c r="B24" s="25"/>
      <c r="C24" s="25"/>
      <c r="D24" s="25"/>
      <c r="E24" s="25">
        <f t="shared" si="1"/>
        <v>0</v>
      </c>
      <c r="F24" s="25">
        <f t="shared" si="2"/>
        <v>0</v>
      </c>
      <c r="G24" s="25">
        <f t="shared" si="3"/>
        <v>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9.5" customHeight="1">
      <c r="A25" s="24">
        <v>17.0</v>
      </c>
      <c r="B25" s="25"/>
      <c r="C25" s="25"/>
      <c r="D25" s="25"/>
      <c r="E25" s="25">
        <f t="shared" si="1"/>
        <v>0</v>
      </c>
      <c r="F25" s="25">
        <f t="shared" si="2"/>
        <v>0</v>
      </c>
      <c r="G25" s="25">
        <f t="shared" si="3"/>
        <v>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9.5" customHeight="1">
      <c r="A26" s="24">
        <v>18.0</v>
      </c>
      <c r="B26" s="25"/>
      <c r="C26" s="25"/>
      <c r="D26" s="25"/>
      <c r="E26" s="25">
        <f t="shared" si="1"/>
        <v>0</v>
      </c>
      <c r="F26" s="25">
        <f t="shared" si="2"/>
        <v>0</v>
      </c>
      <c r="G26" s="25">
        <f t="shared" si="3"/>
        <v>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9.5" customHeight="1">
      <c r="A27" s="24">
        <v>19.0</v>
      </c>
      <c r="B27" s="25"/>
      <c r="C27" s="25"/>
      <c r="D27" s="25"/>
      <c r="E27" s="25">
        <f t="shared" si="1"/>
        <v>0</v>
      </c>
      <c r="F27" s="25">
        <f t="shared" si="2"/>
        <v>0</v>
      </c>
      <c r="G27" s="25">
        <f t="shared" si="3"/>
        <v>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9.5" customHeight="1">
      <c r="A28" s="24">
        <v>20.0</v>
      </c>
      <c r="B28" s="25"/>
      <c r="C28" s="25"/>
      <c r="D28" s="25"/>
      <c r="E28" s="25">
        <f t="shared" si="1"/>
        <v>0</v>
      </c>
      <c r="F28" s="25">
        <f t="shared" si="2"/>
        <v>0</v>
      </c>
      <c r="G28" s="25">
        <f t="shared" si="3"/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9.5" customHeight="1">
      <c r="A29" s="24">
        <v>21.0</v>
      </c>
      <c r="B29" s="25"/>
      <c r="C29" s="25"/>
      <c r="D29" s="25"/>
      <c r="E29" s="25">
        <f t="shared" si="1"/>
        <v>0</v>
      </c>
      <c r="F29" s="25">
        <f t="shared" si="2"/>
        <v>0</v>
      </c>
      <c r="G29" s="25">
        <f t="shared" si="3"/>
        <v>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9.5" customHeight="1">
      <c r="A30" s="24">
        <v>22.0</v>
      </c>
      <c r="B30" s="25"/>
      <c r="C30" s="25"/>
      <c r="D30" s="25"/>
      <c r="E30" s="25">
        <f t="shared" si="1"/>
        <v>0</v>
      </c>
      <c r="F30" s="25">
        <f t="shared" si="2"/>
        <v>0</v>
      </c>
      <c r="G30" s="25">
        <f t="shared" si="3"/>
        <v>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9.5" customHeight="1">
      <c r="A31" s="24">
        <v>23.0</v>
      </c>
      <c r="B31" s="25"/>
      <c r="C31" s="25"/>
      <c r="D31" s="25"/>
      <c r="E31" s="25">
        <f t="shared" si="1"/>
        <v>0</v>
      </c>
      <c r="F31" s="25">
        <f t="shared" si="2"/>
        <v>0</v>
      </c>
      <c r="G31" s="25">
        <f t="shared" si="3"/>
        <v>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9.5" customHeight="1">
      <c r="A32" s="24">
        <v>24.0</v>
      </c>
      <c r="B32" s="25"/>
      <c r="C32" s="25"/>
      <c r="D32" s="25"/>
      <c r="E32" s="25">
        <f t="shared" si="1"/>
        <v>0</v>
      </c>
      <c r="F32" s="25">
        <f t="shared" si="2"/>
        <v>0</v>
      </c>
      <c r="G32" s="25">
        <f t="shared" si="3"/>
        <v>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9.5" customHeight="1">
      <c r="A33" s="24">
        <v>25.0</v>
      </c>
      <c r="B33" s="25"/>
      <c r="C33" s="25"/>
      <c r="D33" s="25"/>
      <c r="E33" s="25">
        <f t="shared" si="1"/>
        <v>0</v>
      </c>
      <c r="F33" s="25">
        <f t="shared" si="2"/>
        <v>0</v>
      </c>
      <c r="G33" s="25">
        <f t="shared" si="3"/>
        <v>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9.5" customHeight="1">
      <c r="A34" s="24">
        <v>26.0</v>
      </c>
      <c r="B34" s="25"/>
      <c r="C34" s="25"/>
      <c r="D34" s="25"/>
      <c r="E34" s="25">
        <f t="shared" si="1"/>
        <v>0</v>
      </c>
      <c r="F34" s="25">
        <f t="shared" si="2"/>
        <v>0</v>
      </c>
      <c r="G34" s="25">
        <f t="shared" si="3"/>
        <v>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9.5" customHeight="1">
      <c r="A35" s="24">
        <v>27.0</v>
      </c>
      <c r="B35" s="25"/>
      <c r="C35" s="25"/>
      <c r="D35" s="25"/>
      <c r="E35" s="25">
        <f t="shared" si="1"/>
        <v>0</v>
      </c>
      <c r="F35" s="25">
        <f t="shared" si="2"/>
        <v>0</v>
      </c>
      <c r="G35" s="25">
        <f t="shared" si="3"/>
        <v>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9.5" customHeight="1">
      <c r="A36" s="24">
        <v>28.0</v>
      </c>
      <c r="B36" s="25"/>
      <c r="C36" s="25"/>
      <c r="D36" s="25"/>
      <c r="E36" s="25">
        <f t="shared" si="1"/>
        <v>0</v>
      </c>
      <c r="F36" s="25">
        <f t="shared" si="2"/>
        <v>0</v>
      </c>
      <c r="G36" s="25">
        <f t="shared" si="3"/>
        <v>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9.5" customHeight="1">
      <c r="A37" s="24">
        <v>29.0</v>
      </c>
      <c r="B37" s="25"/>
      <c r="C37" s="25"/>
      <c r="D37" s="25"/>
      <c r="E37" s="25">
        <f t="shared" si="1"/>
        <v>0</v>
      </c>
      <c r="F37" s="25">
        <f t="shared" si="2"/>
        <v>0</v>
      </c>
      <c r="G37" s="25">
        <f t="shared" si="3"/>
        <v>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9.5" customHeight="1">
      <c r="A38" s="24">
        <v>30.0</v>
      </c>
      <c r="B38" s="25"/>
      <c r="C38" s="25"/>
      <c r="D38" s="25"/>
      <c r="E38" s="25">
        <f t="shared" si="1"/>
        <v>0</v>
      </c>
      <c r="F38" s="25">
        <f t="shared" si="2"/>
        <v>0</v>
      </c>
      <c r="G38" s="25">
        <f t="shared" si="3"/>
        <v>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9.5" customHeight="1">
      <c r="A39" s="24">
        <v>31.0</v>
      </c>
      <c r="B39" s="25"/>
      <c r="C39" s="25"/>
      <c r="D39" s="25"/>
      <c r="E39" s="25">
        <f t="shared" si="1"/>
        <v>0</v>
      </c>
      <c r="F39" s="25">
        <f t="shared" si="2"/>
        <v>0</v>
      </c>
      <c r="G39" s="25">
        <f t="shared" si="3"/>
        <v>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21.0" customHeight="1">
      <c r="A40" s="29" t="s">
        <v>14</v>
      </c>
      <c r="B40" s="30">
        <f t="shared" ref="B40:D40" si="4">+SUM(B9:B39)</f>
        <v>0.5</v>
      </c>
      <c r="C40" s="30">
        <f t="shared" si="4"/>
        <v>0</v>
      </c>
      <c r="D40" s="30">
        <f t="shared" si="4"/>
        <v>0</v>
      </c>
      <c r="E40" s="25">
        <f t="shared" si="1"/>
        <v>0.5</v>
      </c>
      <c r="F40" s="25">
        <f t="shared" si="2"/>
        <v>0</v>
      </c>
      <c r="G40" s="25">
        <f t="shared" si="3"/>
        <v>0.5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ht="9.75" hidden="1" customHeight="1">
      <c r="A41" s="32" t="s">
        <v>15</v>
      </c>
      <c r="B41" s="33">
        <f>(B40/A39)</f>
        <v>0.01612903226</v>
      </c>
      <c r="C41" s="33">
        <f>(C40/A39)</f>
        <v>0</v>
      </c>
      <c r="D41" s="33">
        <f>(D40/31)</f>
        <v>0</v>
      </c>
      <c r="E41" s="34">
        <f t="shared" si="1"/>
        <v>0.01612903226</v>
      </c>
      <c r="F41" s="34">
        <f t="shared" si="2"/>
        <v>0</v>
      </c>
      <c r="G41" s="34">
        <f t="shared" si="3"/>
        <v>0.01612903226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9.0" hidden="1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9.0" hidden="1" customHeight="1">
      <c r="A43" s="35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9.0" hidden="1" customHeight="1"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9.0" hidden="1" customHeight="1"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9.0" hidden="1" customHeight="1"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9.0" hidden="1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2.0" hidden="1" customHeight="1">
      <c r="A48" s="36"/>
      <c r="B48" s="37" t="s">
        <v>17</v>
      </c>
      <c r="C48" s="38"/>
      <c r="D48" s="3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2.0" hidden="1" customHeight="1">
      <c r="A49" s="39"/>
      <c r="B49" s="40" t="s">
        <v>18</v>
      </c>
      <c r="C49" s="40"/>
      <c r="D49" s="4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2.0" hidden="1" customHeight="1">
      <c r="A50" s="41"/>
      <c r="B50" s="40" t="s">
        <v>19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2.0" hidden="1" customHeight="1">
      <c r="A51" s="42"/>
      <c r="B51" s="40" t="s">
        <v>20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2.0" hidden="1" customHeight="1">
      <c r="A52" s="43"/>
      <c r="B52" s="44" t="s">
        <v>21</v>
      </c>
      <c r="C52" s="45"/>
      <c r="D52" s="4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9.0" hidden="1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9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9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9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9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9.0" customHeight="1">
      <c r="A58" s="6"/>
      <c r="B58" s="6"/>
      <c r="C58" s="6"/>
      <c r="D58" s="4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4.25" customHeight="1">
      <c r="A59" s="6"/>
      <c r="B59" s="6"/>
      <c r="C59" s="6"/>
      <c r="D59" s="1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4.25" customHeight="1">
      <c r="A60" s="6"/>
      <c r="B60" s="6"/>
      <c r="C60" s="6"/>
      <c r="D60" s="1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4.25" customHeight="1">
      <c r="A61" s="6"/>
      <c r="B61" s="6"/>
      <c r="C61" s="6"/>
      <c r="D61" s="1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9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9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9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9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9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9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9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9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9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9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9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9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9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9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9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9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9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9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9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9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9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9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9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9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9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9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9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9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9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9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9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9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9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9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9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9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9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9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9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9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9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9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9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9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9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9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9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9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9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9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9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9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9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9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9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9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9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9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9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9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9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9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9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9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9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9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9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9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9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9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9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9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9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9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9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9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9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9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9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9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9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9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9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9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9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9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9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9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9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9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9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9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9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9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9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9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9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9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9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9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9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9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9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9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9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9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9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9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9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9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9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9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9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9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9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9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9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9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9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9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9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9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9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9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9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9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9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9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9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9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9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9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9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9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9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9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9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9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9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9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9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9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9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9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9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9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9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9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9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9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9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9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9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9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9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9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9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9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9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9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9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9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9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9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9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9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9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9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9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9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9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9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9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9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9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9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9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9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9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9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9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9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9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9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9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9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9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9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9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9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9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9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9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9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9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9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9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9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9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9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9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9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9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9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9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9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9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9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9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9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9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9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9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9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9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9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9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9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9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9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9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9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9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9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9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9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9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9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9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9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9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9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9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9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9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9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9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9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9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9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9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9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9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9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9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9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9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9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9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9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9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9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9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9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9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9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9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9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9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9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9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9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9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9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9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9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9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9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9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9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9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9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9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9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9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9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9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9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9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9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9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9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9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9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9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9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9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9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9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9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9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9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9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9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9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9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9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9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9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9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9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9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9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9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9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9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9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9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9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9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9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9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9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9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9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9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9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9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9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9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9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9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9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9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9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9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9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9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9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9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9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9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9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9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9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9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9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9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9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9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9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9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9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9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9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9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9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9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9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9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9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9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9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9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9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9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9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9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9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9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9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9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9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9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9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9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9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9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9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9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9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9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9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9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9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9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9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9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9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9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9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9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9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9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9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9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9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9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9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9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9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9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9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9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9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9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9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9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9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9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9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9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9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9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9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9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9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9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9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9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9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9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9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9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9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9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9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9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9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9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9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9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9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9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9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9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9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9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9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9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9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9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9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9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9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9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9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9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9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9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9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9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9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9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9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9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9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9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9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9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9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9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9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9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9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9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9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9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9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9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9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9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9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9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9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9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9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9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9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9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9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9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9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9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9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9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9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9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9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9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9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9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9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9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9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9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9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9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9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9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9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9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9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9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9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9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9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9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9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9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9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9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9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9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9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9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9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9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9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9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9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9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9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9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9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9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9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9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9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9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9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9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9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9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9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9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9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9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9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9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9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9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9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9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9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9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9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9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9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9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9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9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9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9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9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9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9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9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9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9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9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9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9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9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9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9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9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9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9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9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9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9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9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9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9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9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9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9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9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9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9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9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9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9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9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9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9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9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9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9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9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9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9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9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9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9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9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9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9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9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9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9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9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9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9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9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9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9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9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9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9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9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9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9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9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9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9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9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9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9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9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9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9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9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9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9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9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9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9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9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9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9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9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9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9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9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9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9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9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9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9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9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9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9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9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9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9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9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9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9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9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9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9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9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9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9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9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9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9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9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9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9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9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9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9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9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9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9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9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9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9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9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9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9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9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9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9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9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9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9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9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9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9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9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9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9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9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9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9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9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9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9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9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9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9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9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9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9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9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9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9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9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9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9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9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9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9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9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9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9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9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9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9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9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9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9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9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9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9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9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9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9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9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9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9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9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9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9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9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9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9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9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9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9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9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9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9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9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9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9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9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9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9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9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9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9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9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9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9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9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9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9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9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9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9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9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9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9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9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9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9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9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9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9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9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9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9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9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9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9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9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9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9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9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9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9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9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9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9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9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9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9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9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9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9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9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9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9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9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9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9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9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9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9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9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9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9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9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9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9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9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9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9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9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9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9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9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9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9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9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9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9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9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9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9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9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9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9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9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9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9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9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9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9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9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9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9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9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9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9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9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9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9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9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9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9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9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9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9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9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9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9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9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9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9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9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9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9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9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9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9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9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9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9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9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9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9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9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9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9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9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9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9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9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9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9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9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9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9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9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9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9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9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9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9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9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9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9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9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9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9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9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9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9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9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9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9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9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9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9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9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9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9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9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9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9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9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9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9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9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9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9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9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9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9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9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9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9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9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9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9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9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9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9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9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9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9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9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9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9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9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9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9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9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9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9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9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9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9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9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9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9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9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9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9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9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9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9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9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9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9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9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9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9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9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9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9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9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9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12">
    <mergeCell ref="B6:C7"/>
    <mergeCell ref="A43:D46"/>
    <mergeCell ref="B48:D48"/>
    <mergeCell ref="B50:D50"/>
    <mergeCell ref="B51:D51"/>
    <mergeCell ref="C1:E3"/>
    <mergeCell ref="F1:G3"/>
    <mergeCell ref="A6:A8"/>
    <mergeCell ref="E6:E8"/>
    <mergeCell ref="F6:F8"/>
    <mergeCell ref="G6:G8"/>
    <mergeCell ref="A1:B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2009-12-15T13:23:22Z</dcterms:created>
  <dc:creator>Niko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str>08318d30-1de8-4c3c-bcaa-c6c9133fe252</vt:lpstr>
  </property>
</Properties>
</file>