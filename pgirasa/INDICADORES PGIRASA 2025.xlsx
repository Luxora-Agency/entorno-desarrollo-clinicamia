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PGIRHS " sheetId="1" r:id="rId4"/>
    <sheet state="visible" name="INDICADORES" sheetId="2" r:id="rId5"/>
    <sheet state="visible" name="INFORME SEMESTRE 1 " sheetId="3" r:id="rId6"/>
    <sheet state="visible" name="FICHAS TECNICAS" sheetId="4" r:id="rId7"/>
    <sheet state="visible" name="INFORME SEMESTRE 2" sheetId="5" r:id="rId8"/>
  </sheets>
  <definedNames/>
  <calcPr/>
  <extLst>
    <ext uri="GoogleSheetsCustomDataVersion2">
      <go:sheetsCustomData xmlns:go="http://customooxmlschemas.google.com/" r:id="rId9" roundtripDataChecksum="+G4ZMhAcoBQ05/XK+gdZWnthEDkDTR7RNNPtr5RlAD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ID#AAAADqjYNXM
Maria Claudia Hincapie Alvarez    (2019-09-14 20:06:47)
se suman los residuos q se incineran y se dividen en el total el resultado se multiplica x 100.</t>
      </text>
    </comment>
    <comment authorId="0" ref="H3">
      <text>
        <t xml:space="preserve">======
ID#AAAADqjYNXI
Maria Claudia Hincapie Alvarez    (2019-09-14 20:06:47)
Lo q se esteriliza se divide en el total de residuos y se multiplica por 100</t>
      </text>
    </comment>
  </commentList>
  <extLst>
    <ext uri="GoogleSheetsCustomDataVersion2">
      <go:sheetsCustomData xmlns:go="http://customooxmlschemas.google.com/" r:id="rId1" roundtripDataSignature="AMtx7mifANpUzZ+gIiyBaWIELMpTwFQTR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ID#AAAADqjYNXQ
Maria Claudia Hincapie Alvarez    (2019-09-14 20:06:47)
se suman los residuos q se incineran y se dividen en el total el resultado se multiplica x 100.</t>
      </text>
    </comment>
    <comment authorId="0" ref="H3">
      <text>
        <t xml:space="preserve">======
ID#AAAADqjYNXE
Maria Claudia Hincapie Alvarez    (2019-09-14 20:06:47)
Lo q se esteriliza se divide en el total de residuos y se multiplica por 100</t>
      </text>
    </comment>
  </commentList>
  <extLst>
    <ext uri="GoogleSheetsCustomDataVersion2">
      <go:sheetsCustomData xmlns:go="http://customooxmlschemas.google.com/" r:id="rId1" roundtripDataSignature="AMtx7mhLIInaBSnUHd+8PydI0VT27zUL2g=="/>
    </ext>
  </extLst>
</comments>
</file>

<file path=xl/sharedStrings.xml><?xml version="1.0" encoding="utf-8"?>
<sst xmlns="http://schemas.openxmlformats.org/spreadsheetml/2006/main" count="290" uniqueCount="117">
  <si>
    <t xml:space="preserve">REGISTRO DE INDICADORES PGIRASA 2025
</t>
  </si>
  <si>
    <t xml:space="preserve">Residuo </t>
  </si>
  <si>
    <t>Enero</t>
  </si>
  <si>
    <t>Febrero</t>
  </si>
  <si>
    <t>Marzo</t>
  </si>
  <si>
    <t>Abril</t>
  </si>
  <si>
    <t>Mayo</t>
  </si>
  <si>
    <t>Junio</t>
  </si>
  <si>
    <t>SEMESTRE I</t>
  </si>
  <si>
    <t>Julio</t>
  </si>
  <si>
    <t>Agosto</t>
  </si>
  <si>
    <t>Septiembre</t>
  </si>
  <si>
    <t>Octubre</t>
  </si>
  <si>
    <t>Noviembre</t>
  </si>
  <si>
    <t>Diciembre</t>
  </si>
  <si>
    <t>SEMESTRE II</t>
  </si>
  <si>
    <t>Tratamiento</t>
  </si>
  <si>
    <t>Biosanitarios Y1</t>
  </si>
  <si>
    <t>0,9</t>
  </si>
  <si>
    <t>0,8</t>
  </si>
  <si>
    <t>Esterilizacion</t>
  </si>
  <si>
    <t>Reciclaje</t>
  </si>
  <si>
    <t>0,7</t>
  </si>
  <si>
    <t>0,6</t>
  </si>
  <si>
    <t>0,4</t>
  </si>
  <si>
    <t>Ordinarios</t>
  </si>
  <si>
    <t>1,5</t>
  </si>
  <si>
    <t>1,0</t>
  </si>
  <si>
    <t>Total Producido mes</t>
  </si>
  <si>
    <t>Total de Residuos Peligrosos</t>
  </si>
  <si>
    <t>Total de Residuos NO Peligrosos</t>
  </si>
  <si>
    <t>EVIDENCIA GRAFICA SEMESTRE I</t>
  </si>
  <si>
    <t>EVIDENCIA GRAFICA SEMESTRE II</t>
  </si>
  <si>
    <t>INDICADORES DE SEGUIMIENTO AL PGIRHS</t>
  </si>
  <si>
    <t>Codigo: EH-F-015
Emision: Ago - 2023
Version: 1</t>
  </si>
  <si>
    <t>Destinación para incineración</t>
  </si>
  <si>
    <t>Cantidad de residuos incinerados en Kg./ mes</t>
  </si>
  <si>
    <t>Cantidad total de Residuos producidos por el Hospital o  establecimiento en Kg./mes</t>
  </si>
  <si>
    <t>Destinacion para otro sistema</t>
  </si>
  <si>
    <t>cantidad de residuos  sometidos a esterilizacion y enviados a relleno industrial</t>
  </si>
  <si>
    <t>Cantidad total de Residuos producidos por el Hospital  en Kg./mes</t>
  </si>
  <si>
    <t>Destinación para el reciclaje</t>
  </si>
  <si>
    <t>cantidad de residuos reciclados en Kg/mes</t>
  </si>
  <si>
    <t>cumplimiento de capacitaciones presupuestadas</t>
  </si>
  <si>
    <t>Cuatrimestre 1</t>
  </si>
  <si>
    <t>Cuatrimestre 2</t>
  </si>
  <si>
    <t>Cuarimestre 3</t>
  </si>
  <si>
    <t>No capacitaciones realizadas</t>
  </si>
  <si>
    <t>No capacitaciones Presupuestadas</t>
  </si>
  <si>
    <t>De Frecuencia</t>
  </si>
  <si>
    <t xml:space="preserve">No. total de Accidentes mes por residuos hospitalarios  </t>
  </si>
  <si>
    <t>No total de horas hombre trabajadas mes</t>
  </si>
  <si>
    <t>De Gravedad</t>
  </si>
  <si>
    <t>Número total días de incapacidad mes</t>
  </si>
  <si>
    <t>De Incidencia</t>
  </si>
  <si>
    <t>Número de accidentes mes</t>
  </si>
  <si>
    <t>Número de personas expuestas</t>
  </si>
  <si>
    <t xml:space="preserve">INFORME  I SEMESTRE </t>
  </si>
  <si>
    <t xml:space="preserve">Nombre o Razón Social </t>
  </si>
  <si>
    <t>Nivel de Complejidad</t>
  </si>
  <si>
    <t>N° de Camas</t>
  </si>
  <si>
    <t>Producción Residuos Peligrosos       (Kg/Semestral)</t>
  </si>
  <si>
    <t>Producción Residuos No Peligrosos (Kg/Semestral)</t>
  </si>
  <si>
    <t>Producción Total de Residuos (Kg/Semestral)</t>
  </si>
  <si>
    <t>Indicador de destinación para desactivación de alta eficiencia (semestral %)</t>
  </si>
  <si>
    <t>Indicador de destinación para reciclaje (semestral %)</t>
  </si>
  <si>
    <t>Indicador de destinación para incineración (semestral %)</t>
  </si>
  <si>
    <t>Indicador de destinación para rellenos sanitarios (semestral %)</t>
  </si>
  <si>
    <t>Indicador de destinación para otro sistema (semestral %)</t>
  </si>
  <si>
    <t>Indicador de Capacitación (semestral %)</t>
  </si>
  <si>
    <t>Indicador de Frecuencia de Accidentes (semestral %)</t>
  </si>
  <si>
    <t>Indicador de Gravedad de Accidentes (semestral %)</t>
  </si>
  <si>
    <t>Indicador de Infección Nosocomial (semestral %)</t>
  </si>
  <si>
    <t>BAJO</t>
  </si>
  <si>
    <t xml:space="preserve">N/A </t>
  </si>
  <si>
    <t>N/A</t>
  </si>
  <si>
    <t xml:space="preserve">TRATAMIENTO </t>
  </si>
  <si>
    <t xml:space="preserve">Incineración </t>
  </si>
  <si>
    <t>FICHAS TECNICAS DE INDICADORES SEGURIDAD DEL MEDIO AMBIENTE</t>
  </si>
  <si>
    <t>INDICADOR</t>
  </si>
  <si>
    <t>OBJETIVO DEL INDICADOR</t>
  </si>
  <si>
    <t>ALCANCE</t>
  </si>
  <si>
    <t>DOMINIO</t>
  </si>
  <si>
    <t>RESPONSABLE DEL KPI</t>
  </si>
  <si>
    <t xml:space="preserve">FORMA DE MEDICIÓN </t>
  </si>
  <si>
    <t>RESPONSABLE DE LA MEDICIÓN Y ACTUALIZACIÓN</t>
  </si>
  <si>
    <t>FUENTE DE MEDICIÓN</t>
  </si>
  <si>
    <t>UNIDAD DE MEDIDA</t>
  </si>
  <si>
    <t>FRECUENCIA DEL KPI</t>
  </si>
  <si>
    <t>META</t>
  </si>
  <si>
    <t>NUMERADOR</t>
  </si>
  <si>
    <t>DENOMINADOR</t>
  </si>
  <si>
    <t xml:space="preserve">Mensual </t>
  </si>
  <si>
    <t>Trimestral</t>
  </si>
  <si>
    <t>Semestral</t>
  </si>
  <si>
    <t>Anual</t>
  </si>
  <si>
    <t>Dejar evidencia del numero total de residuos que fueron enviados a incineracion</t>
  </si>
  <si>
    <t>Monitoria interna del sistema</t>
  </si>
  <si>
    <t>Seguridad</t>
  </si>
  <si>
    <t>Lider de medio ambiente</t>
  </si>
  <si>
    <t>Cantidad total de Residuos producidos por la institución en Kg./mes</t>
  </si>
  <si>
    <t>Comité de Medio Ambiente</t>
  </si>
  <si>
    <t xml:space="preserve">Registros PGIRHS RH1 </t>
  </si>
  <si>
    <t>%</t>
  </si>
  <si>
    <t>X</t>
  </si>
  <si>
    <t xml:space="preserve">Dejar evidencia del porcentaje total de residuos que fueron enviados a otro sistema </t>
  </si>
  <si>
    <t>Cantidad total de Residuos producidos por la institución Kg./mes</t>
  </si>
  <si>
    <t>Dejar evidencia del porcentaje total de residuos que fueron enviados a reciclaje</t>
  </si>
  <si>
    <t>Cantidad total de Residuos producidos por la institución  en Kg./mes</t>
  </si>
  <si>
    <t>Registros PGIRHS RH1</t>
  </si>
  <si>
    <t>Dejar evidencia de los procesos de formacion a realizar con todo el personal</t>
  </si>
  <si>
    <t>Cronograma de capacitacion Listado de Asistencia a Capacitacion</t>
  </si>
  <si>
    <t>Cronograma de capacitacion</t>
  </si>
  <si>
    <t>Dejar evidencia de los accidentes de trbajoa que se presentan en la organización, relacionados con la gestion de residuos</t>
  </si>
  <si>
    <t>Dias de incapacidad generados debido a los accidentes de trabajo presentados en la organización</t>
  </si>
  <si>
    <t xml:space="preserve">Numero de accidentes de trabajo que se presentan en la organizzacion, de acuerdo con el numero de colaboradores </t>
  </si>
  <si>
    <t xml:space="preserve">INFORME  II SEMESTRE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</si>
</sst>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Arial"/>
      <scheme val="minor"/>
    </font>
    <font>
      <b/>
      <sz val="18.0"/>
      <color rgb="FF000000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6.0"/>
      <color rgb="FF000000"/>
      <name val="Calibri"/>
    </font>
    <font>
      <sz val="8.0"/>
      <color rgb="FF000000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22.0"/>
      <color theme="1"/>
      <name val="Calibri"/>
    </font>
    <font>
      <b/>
      <sz val="16.0"/>
      <color theme="1"/>
      <name val="Calibri"/>
    </font>
    <font>
      <b/>
      <sz val="9.0"/>
      <color theme="1"/>
      <name val="Arial Narrow"/>
    </font>
    <font>
      <sz val="11.0"/>
      <color theme="0"/>
      <name val="Calibri"/>
    </font>
    <font>
      <b/>
      <sz val="1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10" fillId="3" fontId="6" numFmtId="0" xfId="0" applyAlignment="1" applyBorder="1" applyFill="1" applyFont="1">
      <alignment horizontal="center" vertical="center"/>
    </xf>
    <xf borderId="3" fillId="2" fontId="8" numFmtId="2" xfId="0" applyAlignment="1" applyBorder="1" applyFont="1" applyNumberFormat="1">
      <alignment horizontal="center"/>
    </xf>
    <xf borderId="4" fillId="2" fontId="8" numFmtId="2" xfId="0" applyAlignment="1" applyBorder="1" applyFont="1" applyNumberFormat="1">
      <alignment horizontal="center"/>
    </xf>
    <xf borderId="11" fillId="2" fontId="8" numFmtId="2" xfId="0" applyAlignment="1" applyBorder="1" applyFont="1" applyNumberFormat="1">
      <alignment horizontal="center"/>
    </xf>
    <xf borderId="12" fillId="2" fontId="9" numFmtId="2" xfId="0" applyAlignment="1" applyBorder="1" applyFont="1" applyNumberFormat="1">
      <alignment horizontal="center" vertical="center"/>
    </xf>
    <xf borderId="13" fillId="2" fontId="9" numFmtId="2" xfId="0" applyAlignment="1" applyBorder="1" applyFont="1" applyNumberFormat="1">
      <alignment horizontal="center" vertical="center"/>
    </xf>
    <xf borderId="14" fillId="2" fontId="9" numFmtId="2" xfId="0" applyAlignment="1" applyBorder="1" applyFont="1" applyNumberFormat="1">
      <alignment horizontal="center" vertical="center"/>
    </xf>
    <xf borderId="15" fillId="2" fontId="9" numFmtId="2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15" fillId="4" fontId="10" numFmtId="0" xfId="0" applyAlignment="1" applyBorder="1" applyFill="1" applyFont="1">
      <alignment horizontal="center" shrinkToFit="0" vertical="center" wrapText="1"/>
    </xf>
    <xf borderId="16" fillId="2" fontId="8" numFmtId="2" xfId="0" applyAlignment="1" applyBorder="1" applyFont="1" applyNumberFormat="1">
      <alignment horizontal="center"/>
    </xf>
    <xf borderId="1" fillId="2" fontId="8" numFmtId="2" xfId="0" applyAlignment="1" applyBorder="1" applyFont="1" applyNumberFormat="1">
      <alignment horizontal="center"/>
    </xf>
    <xf borderId="17" fillId="2" fontId="8" numFmtId="2" xfId="0" applyAlignment="1" applyBorder="1" applyFont="1" applyNumberFormat="1">
      <alignment horizontal="center"/>
    </xf>
    <xf borderId="18" fillId="2" fontId="9" numFmtId="2" xfId="0" applyAlignment="1" applyBorder="1" applyFont="1" applyNumberFormat="1">
      <alignment horizontal="center" vertical="center"/>
    </xf>
    <xf borderId="1" fillId="2" fontId="9" numFmtId="2" xfId="0" applyAlignment="1" applyBorder="1" applyFont="1" applyNumberFormat="1">
      <alignment horizontal="center" vertical="center"/>
    </xf>
    <xf borderId="17" fillId="2" fontId="9" numFmtId="2" xfId="0" applyAlignment="1" applyBorder="1" applyFont="1" applyNumberFormat="1">
      <alignment horizontal="center" vertical="center"/>
    </xf>
    <xf borderId="19" fillId="5" fontId="11" numFmtId="0" xfId="0" applyAlignment="1" applyBorder="1" applyFill="1" applyFont="1">
      <alignment horizontal="center" shrinkToFit="0" vertical="center" wrapText="1"/>
    </xf>
    <xf borderId="20" fillId="2" fontId="8" numFmtId="2" xfId="0" applyAlignment="1" applyBorder="1" applyFont="1" applyNumberFormat="1">
      <alignment horizontal="center"/>
    </xf>
    <xf borderId="21" fillId="2" fontId="8" numFmtId="2" xfId="0" applyAlignment="1" applyBorder="1" applyFont="1" applyNumberFormat="1">
      <alignment horizontal="center"/>
    </xf>
    <xf borderId="22" fillId="2" fontId="8" numFmtId="2" xfId="0" applyAlignment="1" applyBorder="1" applyFont="1" applyNumberFormat="1">
      <alignment horizontal="center"/>
    </xf>
    <xf borderId="23" fillId="2" fontId="9" numFmtId="2" xfId="0" applyAlignment="1" applyBorder="1" applyFont="1" applyNumberFormat="1">
      <alignment horizontal="center" vertical="center"/>
    </xf>
    <xf borderId="24" fillId="2" fontId="9" numFmtId="2" xfId="0" applyAlignment="1" applyBorder="1" applyFont="1" applyNumberFormat="1">
      <alignment horizontal="center" vertical="center"/>
    </xf>
    <xf borderId="21" fillId="2" fontId="9" numFmtId="2" xfId="0" applyAlignment="1" applyBorder="1" applyFont="1" applyNumberFormat="1">
      <alignment horizontal="center" vertical="center"/>
    </xf>
    <xf borderId="22" fillId="2" fontId="9" numFmtId="2" xfId="0" applyAlignment="1" applyBorder="1" applyFont="1" applyNumberFormat="1">
      <alignment horizontal="center" vertical="center"/>
    </xf>
    <xf borderId="25" fillId="0" fontId="10" numFmtId="0" xfId="0" applyAlignment="1" applyBorder="1" applyFont="1">
      <alignment horizontal="center" shrinkToFit="0" vertical="center" wrapText="1"/>
    </xf>
    <xf borderId="26" fillId="0" fontId="6" numFmtId="3" xfId="0" applyAlignment="1" applyBorder="1" applyFont="1" applyNumberFormat="1">
      <alignment horizontal="center" vertical="center"/>
    </xf>
    <xf borderId="27" fillId="0" fontId="6" numFmtId="3" xfId="0" applyAlignment="1" applyBorder="1" applyFont="1" applyNumberFormat="1">
      <alignment horizontal="center" vertical="center"/>
    </xf>
    <xf borderId="28" fillId="0" fontId="9" numFmtId="2" xfId="0" applyAlignment="1" applyBorder="1" applyFont="1" applyNumberFormat="1">
      <alignment horizontal="center" vertical="center"/>
    </xf>
    <xf borderId="29" fillId="0" fontId="6" numFmtId="3" xfId="0" applyAlignment="1" applyBorder="1" applyFont="1" applyNumberFormat="1">
      <alignment horizontal="center" vertical="center"/>
    </xf>
    <xf borderId="30" fillId="0" fontId="6" numFmtId="3" xfId="0" applyAlignment="1" applyBorder="1" applyFont="1" applyNumberFormat="1">
      <alignment horizontal="center" vertical="center"/>
    </xf>
    <xf borderId="28" fillId="0" fontId="6" numFmtId="3" xfId="0" applyAlignment="1" applyBorder="1" applyFont="1" applyNumberFormat="1">
      <alignment horizontal="center" vertical="center"/>
    </xf>
    <xf borderId="0" fillId="0" fontId="9" numFmtId="0" xfId="0" applyFont="1"/>
    <xf borderId="31" fillId="0" fontId="6" numFmtId="0" xfId="0" applyAlignment="1" applyBorder="1" applyFont="1">
      <alignment horizontal="right" shrinkToFit="0" vertical="center" wrapText="1"/>
    </xf>
    <xf borderId="7" fillId="0" fontId="6" numFmtId="2" xfId="0" applyAlignment="1" applyBorder="1" applyFont="1" applyNumberFormat="1">
      <alignment horizontal="center" vertical="center"/>
    </xf>
    <xf borderId="32" fillId="0" fontId="6" numFmtId="2" xfId="0" applyAlignment="1" applyBorder="1" applyFont="1" applyNumberFormat="1">
      <alignment horizontal="center" vertical="center"/>
    </xf>
    <xf borderId="27" fillId="0" fontId="6" numFmtId="0" xfId="0" applyAlignment="1" applyBorder="1" applyFont="1">
      <alignment horizontal="right" shrinkToFit="0" vertical="center" wrapText="1"/>
    </xf>
    <xf borderId="30" fillId="0" fontId="3" numFmtId="0" xfId="0" applyBorder="1" applyFont="1"/>
    <xf borderId="28" fillId="0" fontId="6" numFmtId="2" xfId="0" applyAlignment="1" applyBorder="1" applyFont="1" applyNumberFormat="1">
      <alignment horizontal="center" vertical="center"/>
    </xf>
    <xf borderId="33" fillId="2" fontId="5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3" fillId="0" fontId="7" numFmtId="0" xfId="0" applyAlignment="1" applyBorder="1" applyFont="1">
      <alignment horizontal="center"/>
    </xf>
    <xf borderId="0" fillId="4" fontId="2" numFmtId="0" xfId="0" applyAlignment="1" applyFont="1">
      <alignment horizontal="center" vertical="center"/>
    </xf>
    <xf borderId="33" fillId="0" fontId="12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center"/>
    </xf>
    <xf borderId="0" fillId="0" fontId="13" numFmtId="0" xfId="0" applyFont="1"/>
    <xf borderId="36" fillId="2" fontId="14" numFmtId="0" xfId="0" applyAlignment="1" applyBorder="1" applyFont="1">
      <alignment horizontal="center" shrinkToFit="0" vertical="center" wrapText="1"/>
    </xf>
    <xf borderId="37" fillId="2" fontId="1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0" fillId="0" fontId="7" numFmtId="0" xfId="0" applyAlignment="1" applyFont="1">
      <alignment vertical="center"/>
    </xf>
    <xf borderId="40" fillId="0" fontId="15" numFmtId="0" xfId="0" applyAlignment="1" applyBorder="1" applyFont="1">
      <alignment horizontal="center" shrinkToFit="0" vertical="center" wrapText="1"/>
    </xf>
    <xf borderId="41" fillId="0" fontId="16" numFmtId="0" xfId="0" applyAlignment="1" applyBorder="1" applyFont="1">
      <alignment horizontal="center" readingOrder="0" vertical="center"/>
    </xf>
    <xf borderId="42" fillId="0" fontId="16" numFmtId="9" xfId="0" applyAlignment="1" applyBorder="1" applyFont="1" applyNumberFormat="1">
      <alignment horizontal="center" vertical="center"/>
    </xf>
    <xf borderId="42" fillId="0" fontId="16" numFmtId="10" xfId="0" applyAlignment="1" applyBorder="1" applyFont="1" applyNumberFormat="1">
      <alignment horizontal="center" vertical="center"/>
    </xf>
    <xf borderId="25" fillId="0" fontId="15" numFmtId="0" xfId="0" applyAlignment="1" applyBorder="1" applyFont="1">
      <alignment horizontal="center" shrinkToFit="0" vertical="center" wrapText="1"/>
    </xf>
    <xf borderId="41" fillId="0" fontId="16" numFmtId="3" xfId="0" applyAlignment="1" applyBorder="1" applyFont="1" applyNumberFormat="1">
      <alignment horizontal="center" readingOrder="0" vertical="center"/>
    </xf>
    <xf borderId="43" fillId="0" fontId="3" numFmtId="0" xfId="0" applyBorder="1" applyFont="1"/>
    <xf borderId="41" fillId="0" fontId="16" numFmtId="3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/>
    </xf>
    <xf borderId="0" fillId="0" fontId="16" numFmtId="0" xfId="0" applyFont="1"/>
    <xf borderId="41" fillId="0" fontId="16" numFmtId="2" xfId="0" applyAlignment="1" applyBorder="1" applyFont="1" applyNumberFormat="1">
      <alignment horizontal="center" vertical="center"/>
    </xf>
    <xf borderId="41" fillId="0" fontId="16" numFmtId="2" xfId="0" applyAlignment="1" applyBorder="1" applyFont="1" applyNumberFormat="1">
      <alignment horizontal="center" readingOrder="0" vertical="center"/>
    </xf>
    <xf borderId="42" fillId="0" fontId="16" numFmtId="10" xfId="0" applyAlignment="1" applyBorder="1" applyFont="1" applyNumberFormat="1">
      <alignment horizontal="center" readingOrder="0" vertical="center"/>
    </xf>
    <xf borderId="41" fillId="0" fontId="16" numFmtId="1" xfId="0" applyAlignment="1" applyBorder="1" applyFont="1" applyNumberFormat="1">
      <alignment horizontal="center" vertical="center"/>
    </xf>
    <xf borderId="26" fillId="0" fontId="16" numFmtId="3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16" numFmtId="9" xfId="0" applyAlignment="1" applyFont="1" applyNumberFormat="1">
      <alignment horizontal="center"/>
    </xf>
    <xf borderId="0" fillId="0" fontId="15" numFmtId="0" xfId="0" applyFont="1"/>
    <xf borderId="41" fillId="0" fontId="16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 readingOrder="0" vertical="center"/>
    </xf>
    <xf borderId="26" fillId="0" fontId="16" numFmtId="0" xfId="0" applyAlignment="1" applyBorder="1" applyFont="1">
      <alignment horizontal="center" vertical="center"/>
    </xf>
    <xf borderId="0" fillId="0" fontId="16" numFmtId="9" xfId="0" applyFont="1" applyNumberFormat="1"/>
    <xf borderId="3" fillId="2" fontId="14" numFmtId="0" xfId="0" applyAlignment="1" applyBorder="1" applyFont="1">
      <alignment horizontal="center" shrinkToFit="0" wrapText="1"/>
    </xf>
    <xf borderId="44" fillId="2" fontId="14" numFmtId="0" xfId="0" applyAlignment="1" applyBorder="1" applyFont="1">
      <alignment horizontal="center" shrinkToFit="0" wrapText="1"/>
    </xf>
    <xf borderId="45" fillId="0" fontId="3" numFmtId="0" xfId="0" applyBorder="1" applyFont="1"/>
    <xf borderId="46" fillId="0" fontId="3" numFmtId="0" xfId="0" applyBorder="1" applyFont="1"/>
    <xf borderId="16" fillId="0" fontId="15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horizontal="center" shrinkToFit="0" wrapText="1"/>
    </xf>
    <xf borderId="33" fillId="0" fontId="17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2" xfId="0" applyAlignment="1" applyBorder="1" applyFont="1" applyNumberFormat="1">
      <alignment horizontal="center" shrinkToFit="0" vertical="center" wrapText="1"/>
    </xf>
    <xf borderId="1" fillId="0" fontId="6" numFmtId="2" xfId="0" applyAlignment="1" applyBorder="1" applyFont="1" applyNumberFormat="1">
      <alignment horizontal="center" readingOrder="0" shrinkToFit="0" vertical="center" wrapText="1"/>
    </xf>
    <xf borderId="1" fillId="0" fontId="6" numFmtId="10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9" xfId="0" applyAlignment="1" applyBorder="1" applyFont="1" applyNumberFormat="1">
      <alignment horizontal="center" readingOrder="0" shrinkToFit="0" vertical="center" wrapText="1"/>
    </xf>
    <xf borderId="1" fillId="0" fontId="7" numFmtId="0" xfId="0" applyBorder="1" applyFont="1"/>
    <xf borderId="47" fillId="0" fontId="3" numFmtId="0" xfId="0" applyBorder="1" applyFont="1"/>
    <xf borderId="48" fillId="0" fontId="18" numFmtId="0" xfId="0" applyAlignment="1" applyBorder="1" applyFon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48" fillId="0" fontId="4" numFmtId="0" xfId="0" applyAlignment="1" applyBorder="1" applyFont="1">
      <alignment horizontal="left" readingOrder="0" shrinkToFit="0" vertical="center" wrapText="1"/>
    </xf>
    <xf borderId="51" fillId="0" fontId="3" numFmtId="0" xfId="0" applyBorder="1" applyFont="1"/>
    <xf borderId="52" fillId="0" fontId="3" numFmtId="0" xfId="0" applyBorder="1" applyFont="1"/>
    <xf borderId="31" fillId="0" fontId="3" numFmtId="0" xfId="0" applyBorder="1" applyFont="1"/>
    <xf borderId="53" fillId="2" fontId="6" numFmtId="0" xfId="0" applyAlignment="1" applyBorder="1" applyFont="1">
      <alignment horizontal="center" shrinkToFit="0" vertical="center" wrapText="1"/>
    </xf>
    <xf borderId="54" fillId="2" fontId="19" numFmtId="0" xfId="0" applyAlignment="1" applyBorder="1" applyFont="1">
      <alignment horizontal="center" shrinkToFit="0" vertical="center" wrapText="1"/>
    </xf>
    <xf borderId="33" fillId="2" fontId="19" numFmtId="0" xfId="0" applyAlignment="1" applyBorder="1" applyFont="1">
      <alignment horizontal="center" shrinkToFit="0" vertical="center" wrapText="1"/>
    </xf>
    <xf borderId="0" fillId="0" fontId="20" numFmtId="0" xfId="0" applyFont="1"/>
    <xf borderId="55" fillId="0" fontId="3" numFmtId="0" xfId="0" applyBorder="1" applyFont="1"/>
    <xf borderId="41" fillId="0" fontId="3" numFmtId="0" xfId="0" applyBorder="1" applyFont="1"/>
    <xf borderId="1" fillId="2" fontId="19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6" fontId="15" numFmtId="0" xfId="0" applyAlignment="1" applyBorder="1" applyFill="1" applyFont="1">
      <alignment horizontal="center" shrinkToFit="0" vertical="center" wrapText="1"/>
    </xf>
    <xf borderId="1" fillId="0" fontId="15" numFmtId="9" xfId="0" applyAlignment="1" applyBorder="1" applyFont="1" applyNumberFormat="1">
      <alignment horizontal="center" shrinkToFit="0" vertical="center" wrapText="1"/>
    </xf>
    <xf borderId="1" fillId="6" fontId="15" numFmtId="0" xfId="0" applyAlignment="1" applyBorder="1" applyFont="1">
      <alignment shrinkToFit="0" vertical="center" wrapText="1"/>
    </xf>
    <xf borderId="1" fillId="6" fontId="15" numFmtId="0" xfId="0" applyAlignment="1" applyBorder="1" applyFont="1">
      <alignment horizontal="left" shrinkToFit="0" vertical="center" wrapText="1"/>
    </xf>
    <xf borderId="1" fillId="6" fontId="15" numFmtId="9" xfId="0" applyAlignment="1" applyBorder="1" applyFont="1" applyNumberFormat="1">
      <alignment horizontal="center" shrinkToFit="0" vertical="center" wrapText="1"/>
    </xf>
    <xf borderId="1" fillId="6" fontId="15" numFmtId="10" xfId="0" applyAlignment="1" applyBorder="1" applyFont="1" applyNumberFormat="1">
      <alignment horizontal="center" shrinkToFit="0" vertical="center" wrapText="1"/>
    </xf>
    <xf borderId="33" fillId="0" fontId="21" numFmtId="0" xfId="0" applyAlignment="1" applyBorder="1" applyFont="1">
      <alignment horizontal="center" vertical="center"/>
    </xf>
    <xf borderId="1" fillId="0" fontId="6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Biosanitarios Y1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'!$C$4:$I$4</c:f>
            </c:strRef>
          </c:cat>
          <c:val>
            <c:numRef>
              <c:f>'CONSOLIDADO PGIRHS '!$C$5:$I$5</c:f>
              <c:numCache/>
            </c:numRef>
          </c:val>
        </c:ser>
        <c:ser>
          <c:idx val="1"/>
          <c:order val="1"/>
          <c:cat>
            <c:strRef>
              <c:f>'CONSOLIDADO PGIRHS '!$C$4:$I$4</c:f>
            </c:strRef>
          </c:cat>
          <c:val>
            <c:numRef>
              <c:f>'CONSOLIDADO PGIRHS '!$C$7:$I$7</c:f>
              <c:numCache/>
            </c:numRef>
          </c:val>
        </c:ser>
        <c:axId val="1101627528"/>
        <c:axId val="1926398212"/>
      </c:barChart>
      <c:catAx>
        <c:axId val="1101627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800">
                <a:solidFill>
                  <a:srgbClr val="595959"/>
                </a:solidFill>
                <a:latin typeface="Calibri"/>
              </a:defRPr>
            </a:pPr>
          </a:p>
        </c:txPr>
        <c:crossAx val="1926398212"/>
      </c:catAx>
      <c:valAx>
        <c:axId val="1926398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Calibri"/>
                  </a:rPr>
                  <a:t>PESO EN Kg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101627528"/>
      </c:valAx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'!$J$4:$P$4</c:f>
            </c:strRef>
          </c:cat>
          <c:val>
            <c:numRef>
              <c:f>'CONSOLIDADO PGIRHS '!$J$5:$P$5</c:f>
              <c:numCache/>
            </c:numRef>
          </c:val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solidFill>
                      <a:srgbClr val="80808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'CONSOLIDADO PGIRHS '!$J$4:$P$4</c:f>
            </c:strRef>
          </c:cat>
          <c:val>
            <c:numRef>
              <c:f>'CONSOLIDADO PGIRHS '!$J$7:$P$7</c:f>
              <c:numCache/>
            </c:numRef>
          </c:val>
        </c:ser>
        <c:axId val="811291656"/>
        <c:axId val="1950099935"/>
      </c:barChart>
      <c:catAx>
        <c:axId val="811291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 i="0" sz="800">
                <a:solidFill>
                  <a:srgbClr val="595959"/>
                </a:solidFill>
                <a:latin typeface="Calibri"/>
              </a:defRPr>
            </a:pPr>
          </a:p>
        </c:txPr>
        <c:crossAx val="1950099935"/>
      </c:catAx>
      <c:valAx>
        <c:axId val="1950099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Calibri"/>
                  </a:rPr>
                  <a:t>PESO EN Kg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811291656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866775</xdr:colOff>
      <xdr:row>12</xdr:row>
      <xdr:rowOff>85725</xdr:rowOff>
    </xdr:from>
    <xdr:ext cx="10687050" cy="2867025"/>
    <xdr:graphicFrame>
      <xdr:nvGraphicFramePr>
        <xdr:cNvPr id="11654223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990600</xdr:colOff>
      <xdr:row>14</xdr:row>
      <xdr:rowOff>66675</xdr:rowOff>
    </xdr:from>
    <xdr:ext cx="10525125" cy="2581275"/>
    <xdr:graphicFrame>
      <xdr:nvGraphicFramePr>
        <xdr:cNvPr id="16031632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1</xdr:row>
      <xdr:rowOff>257175</xdr:rowOff>
    </xdr:from>
    <xdr:ext cx="1695450" cy="6096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142875</xdr:rowOff>
    </xdr:from>
    <xdr:ext cx="1695450" cy="609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190500</xdr:rowOff>
    </xdr:from>
    <xdr:ext cx="1400175" cy="504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0</xdr:row>
      <xdr:rowOff>209550</xdr:rowOff>
    </xdr:from>
    <xdr:ext cx="2181225" cy="790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190500</xdr:rowOff>
    </xdr:from>
    <xdr:ext cx="1266825" cy="4667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0.88"/>
    <col customWidth="1" min="2" max="2" width="24.88"/>
    <col customWidth="1" min="3" max="16" width="9.38"/>
    <col customWidth="1" min="17" max="17" width="13.63"/>
    <col customWidth="1" min="18" max="26" width="9.38"/>
  </cols>
  <sheetData>
    <row r="1" ht="2.25" customHeight="1">
      <c r="C1" s="1" t="s">
        <v>0</v>
      </c>
    </row>
    <row r="2" ht="87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9.0" customHeight="1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  <c r="I4" s="10" t="s">
        <v>8</v>
      </c>
      <c r="J4" s="11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9" t="s">
        <v>14</v>
      </c>
      <c r="P4" s="12" t="s">
        <v>15</v>
      </c>
      <c r="Q4" s="13" t="s">
        <v>16</v>
      </c>
      <c r="R4" s="14"/>
      <c r="S4" s="14"/>
    </row>
    <row r="5" ht="27.0" customHeight="1">
      <c r="B5" s="15" t="s">
        <v>17</v>
      </c>
      <c r="C5" s="16">
        <v>0.0</v>
      </c>
      <c r="D5" s="17">
        <v>1.0</v>
      </c>
      <c r="E5" s="17" t="s">
        <v>18</v>
      </c>
      <c r="F5" s="17" t="s">
        <v>18</v>
      </c>
      <c r="G5" s="17" t="s">
        <v>19</v>
      </c>
      <c r="H5" s="18" t="s">
        <v>19</v>
      </c>
      <c r="I5" s="19">
        <f t="shared" ref="I5:I7" si="1">SUM(C5:H5)</f>
        <v>1</v>
      </c>
      <c r="J5" s="20"/>
      <c r="K5" s="20"/>
      <c r="L5" s="20"/>
      <c r="M5" s="20"/>
      <c r="N5" s="20"/>
      <c r="O5" s="21"/>
      <c r="P5" s="22">
        <f t="shared" ref="P5:P7" si="2">SUM(J5:O5)</f>
        <v>0</v>
      </c>
      <c r="Q5" s="23" t="s">
        <v>20</v>
      </c>
      <c r="R5" s="14"/>
      <c r="S5" s="14"/>
    </row>
    <row r="6" ht="27.0" customHeight="1">
      <c r="B6" s="24" t="s">
        <v>21</v>
      </c>
      <c r="C6" s="25" t="s">
        <v>18</v>
      </c>
      <c r="D6" s="26" t="s">
        <v>22</v>
      </c>
      <c r="E6" s="26" t="s">
        <v>23</v>
      </c>
      <c r="F6" s="26" t="s">
        <v>22</v>
      </c>
      <c r="G6" s="26" t="s">
        <v>24</v>
      </c>
      <c r="H6" s="27" t="s">
        <v>22</v>
      </c>
      <c r="I6" s="19">
        <f t="shared" si="1"/>
        <v>0</v>
      </c>
      <c r="J6" s="28"/>
      <c r="K6" s="29"/>
      <c r="L6" s="29"/>
      <c r="M6" s="29"/>
      <c r="N6" s="29"/>
      <c r="O6" s="30"/>
      <c r="P6" s="19">
        <f t="shared" si="2"/>
        <v>0</v>
      </c>
      <c r="Q6" s="14"/>
      <c r="R6" s="14"/>
      <c r="S6" s="14"/>
    </row>
    <row r="7" ht="27.0" customHeight="1">
      <c r="B7" s="31" t="s">
        <v>25</v>
      </c>
      <c r="C7" s="32" t="s">
        <v>26</v>
      </c>
      <c r="D7" s="33" t="s">
        <v>27</v>
      </c>
      <c r="E7" s="33">
        <v>1.0</v>
      </c>
      <c r="F7" s="33">
        <v>1.0</v>
      </c>
      <c r="G7" s="33" t="s">
        <v>19</v>
      </c>
      <c r="H7" s="34">
        <v>1.0</v>
      </c>
      <c r="I7" s="35">
        <f t="shared" si="1"/>
        <v>3</v>
      </c>
      <c r="J7" s="36"/>
      <c r="K7" s="37"/>
      <c r="L7" s="37"/>
      <c r="M7" s="37"/>
      <c r="N7" s="37"/>
      <c r="O7" s="38"/>
      <c r="P7" s="35">
        <f t="shared" si="2"/>
        <v>0</v>
      </c>
      <c r="Q7" s="14"/>
      <c r="R7" s="14"/>
      <c r="S7" s="14"/>
    </row>
    <row r="8" ht="27.0" customHeight="1">
      <c r="B8" s="39" t="s">
        <v>28</v>
      </c>
      <c r="C8" s="40">
        <f t="shared" ref="C8:P8" si="3">SUM(C5:C7)</f>
        <v>0</v>
      </c>
      <c r="D8" s="40">
        <f t="shared" si="3"/>
        <v>1</v>
      </c>
      <c r="E8" s="40">
        <f t="shared" si="3"/>
        <v>1</v>
      </c>
      <c r="F8" s="40">
        <f t="shared" si="3"/>
        <v>1</v>
      </c>
      <c r="G8" s="40">
        <f t="shared" si="3"/>
        <v>0</v>
      </c>
      <c r="H8" s="41">
        <f t="shared" si="3"/>
        <v>1</v>
      </c>
      <c r="I8" s="42">
        <f t="shared" si="3"/>
        <v>4</v>
      </c>
      <c r="J8" s="43">
        <f t="shared" si="3"/>
        <v>0</v>
      </c>
      <c r="K8" s="43">
        <f t="shared" si="3"/>
        <v>0</v>
      </c>
      <c r="L8" s="43">
        <f t="shared" si="3"/>
        <v>0</v>
      </c>
      <c r="M8" s="43">
        <f t="shared" si="3"/>
        <v>0</v>
      </c>
      <c r="N8" s="43">
        <f t="shared" si="3"/>
        <v>0</v>
      </c>
      <c r="O8" s="44">
        <f t="shared" si="3"/>
        <v>0</v>
      </c>
      <c r="P8" s="45">
        <f t="shared" si="3"/>
        <v>0</v>
      </c>
      <c r="Q8" s="46"/>
      <c r="R8" s="14"/>
      <c r="S8" s="14"/>
    </row>
    <row r="9" ht="15.0" customHeight="1">
      <c r="B9" s="14"/>
      <c r="C9" s="14"/>
      <c r="D9" s="14"/>
      <c r="E9" s="14"/>
      <c r="F9" s="47" t="s">
        <v>29</v>
      </c>
      <c r="G9" s="3"/>
      <c r="H9" s="3"/>
      <c r="I9" s="48">
        <f>SUM(I5)</f>
        <v>1</v>
      </c>
      <c r="J9" s="14"/>
      <c r="K9" s="14"/>
      <c r="L9" s="14"/>
      <c r="M9" s="47" t="s">
        <v>29</v>
      </c>
      <c r="N9" s="3"/>
      <c r="O9" s="3"/>
      <c r="P9" s="49">
        <f>SUM(P5)</f>
        <v>0</v>
      </c>
      <c r="Q9" s="14"/>
      <c r="R9" s="14"/>
      <c r="S9" s="14"/>
    </row>
    <row r="10" ht="15.75" customHeight="1">
      <c r="B10" s="14"/>
      <c r="C10" s="14"/>
      <c r="D10" s="14"/>
      <c r="E10" s="14"/>
      <c r="F10" s="50" t="s">
        <v>30</v>
      </c>
      <c r="G10" s="51"/>
      <c r="H10" s="51"/>
      <c r="I10" s="52">
        <f>SUM(I6:I7)</f>
        <v>3</v>
      </c>
      <c r="J10" s="14"/>
      <c r="K10" s="14"/>
      <c r="L10" s="14"/>
      <c r="M10" s="50" t="s">
        <v>30</v>
      </c>
      <c r="N10" s="51"/>
      <c r="O10" s="51"/>
      <c r="P10" s="52">
        <f>SUM(P6:P7)</f>
        <v>0</v>
      </c>
      <c r="Q10" s="14"/>
      <c r="R10" s="14"/>
      <c r="S10" s="14"/>
    </row>
    <row r="11" ht="22.5" customHeight="1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ht="21.75" customHeight="1">
      <c r="B12" s="53" t="s">
        <v>31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  <c r="R12" s="14"/>
      <c r="S12" s="14"/>
    </row>
    <row r="13" ht="236.25" customHeight="1">
      <c r="B13" s="56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R13" s="14"/>
      <c r="S13" s="14"/>
    </row>
    <row r="14" ht="19.5" customHeight="1">
      <c r="B14" s="53" t="s">
        <v>32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14"/>
      <c r="S14" s="14"/>
    </row>
    <row r="15" ht="213.75" customHeight="1">
      <c r="B15" s="56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5"/>
      <c r="R15" s="14"/>
      <c r="S15" s="14"/>
    </row>
    <row r="16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5.75" customHeight="1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ht="15.75" customHeight="1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5.75" customHeight="1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75" customHeight="1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5.75" customHeight="1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7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75" customHeight="1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7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7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7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4:Q14"/>
    <mergeCell ref="B15:Q15"/>
    <mergeCell ref="C1:Q2"/>
    <mergeCell ref="F9:H9"/>
    <mergeCell ref="M9:O9"/>
    <mergeCell ref="F10:H10"/>
    <mergeCell ref="M10:O10"/>
    <mergeCell ref="B12:Q12"/>
    <mergeCell ref="B13:Q13"/>
  </mergeCells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4.25"/>
    <col customWidth="1" min="2" max="2" width="5.63"/>
    <col customWidth="1" min="3" max="3" width="7.38"/>
    <col customWidth="1" min="4" max="4" width="6.88"/>
    <col customWidth="1" min="5" max="5" width="7.5"/>
    <col customWidth="1" min="6" max="6" width="6.38"/>
    <col customWidth="1" min="7" max="7" width="7.13"/>
    <col customWidth="1" min="8" max="8" width="5.63"/>
    <col customWidth="1" min="9" max="9" width="5.75"/>
    <col customWidth="1" min="10" max="10" width="5.5"/>
    <col customWidth="1" min="11" max="11" width="7.38"/>
    <col customWidth="1" min="12" max="12" width="5.38"/>
    <col customWidth="1" min="13" max="13" width="6.13"/>
    <col customWidth="1" min="14" max="14" width="5.5"/>
    <col customWidth="1" min="15" max="15" width="6.0"/>
    <col customWidth="1" min="16" max="16" width="5.5"/>
    <col customWidth="1" min="17" max="17" width="5.75"/>
    <col customWidth="1" min="18" max="18" width="6.88"/>
    <col customWidth="1" min="19" max="19" width="5.75"/>
    <col customWidth="1" min="20" max="20" width="5.5"/>
    <col customWidth="1" min="21" max="21" width="5.75"/>
    <col customWidth="1" min="22" max="22" width="6.0"/>
    <col customWidth="1" min="23" max="23" width="5.75"/>
    <col customWidth="1" min="24" max="24" width="6.13"/>
    <col customWidth="1" min="25" max="25" width="5.75"/>
    <col customWidth="1" min="26" max="26" width="9.38"/>
  </cols>
  <sheetData>
    <row r="1" ht="67.5" customHeight="1">
      <c r="A1" s="57"/>
      <c r="B1" s="58" t="s">
        <v>33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5"/>
      <c r="W1" s="59" t="s">
        <v>34</v>
      </c>
      <c r="X1" s="54"/>
      <c r="Y1" s="55"/>
    </row>
    <row r="2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 ht="22.5" customHeight="1">
      <c r="A3" s="62" t="s">
        <v>35</v>
      </c>
      <c r="B3" s="63" t="s">
        <v>2</v>
      </c>
      <c r="C3" s="64"/>
      <c r="D3" s="63" t="s">
        <v>3</v>
      </c>
      <c r="E3" s="64"/>
      <c r="F3" s="63" t="s">
        <v>4</v>
      </c>
      <c r="G3" s="64"/>
      <c r="H3" s="63" t="s">
        <v>5</v>
      </c>
      <c r="I3" s="64"/>
      <c r="J3" s="63" t="s">
        <v>6</v>
      </c>
      <c r="K3" s="64"/>
      <c r="L3" s="63" t="s">
        <v>7</v>
      </c>
      <c r="M3" s="64"/>
      <c r="N3" s="63" t="s">
        <v>9</v>
      </c>
      <c r="O3" s="64"/>
      <c r="P3" s="63" t="s">
        <v>10</v>
      </c>
      <c r="Q3" s="64"/>
      <c r="R3" s="63" t="s">
        <v>11</v>
      </c>
      <c r="S3" s="64"/>
      <c r="T3" s="63" t="s">
        <v>12</v>
      </c>
      <c r="U3" s="64"/>
      <c r="V3" s="63" t="s">
        <v>13</v>
      </c>
      <c r="W3" s="64"/>
      <c r="X3" s="63" t="s">
        <v>14</v>
      </c>
      <c r="Y3" s="65"/>
      <c r="Z3" s="66"/>
    </row>
    <row r="4" ht="24.0" customHeight="1">
      <c r="A4" s="67" t="s">
        <v>36</v>
      </c>
      <c r="B4" s="68">
        <v>0.0</v>
      </c>
      <c r="C4" s="69" t="str">
        <f>+B4/B5</f>
        <v>#DIV/0!</v>
      </c>
      <c r="D4" s="68">
        <v>0.0</v>
      </c>
      <c r="E4" s="70">
        <f>+D4/D5</f>
        <v>0</v>
      </c>
      <c r="F4" s="68">
        <v>0.0</v>
      </c>
      <c r="G4" s="70">
        <f>+F4/F5</f>
        <v>0</v>
      </c>
      <c r="H4" s="68">
        <v>0.0</v>
      </c>
      <c r="I4" s="70">
        <f>+H4/H5</f>
        <v>0</v>
      </c>
      <c r="J4" s="68">
        <v>0.0</v>
      </c>
      <c r="K4" s="70" t="str">
        <f>+J4/J5</f>
        <v>#DIV/0!</v>
      </c>
      <c r="L4" s="68">
        <v>0.0</v>
      </c>
      <c r="M4" s="70">
        <f>+L4/L5</f>
        <v>0</v>
      </c>
      <c r="N4" s="68">
        <v>0.0</v>
      </c>
      <c r="O4" s="70" t="str">
        <f>+N4/N5</f>
        <v>#DIV/0!</v>
      </c>
      <c r="P4" s="68">
        <v>0.0</v>
      </c>
      <c r="Q4" s="70" t="str">
        <f>+P4/P5</f>
        <v>#DIV/0!</v>
      </c>
      <c r="R4" s="68">
        <v>0.0</v>
      </c>
      <c r="S4" s="70" t="str">
        <f>+R4/R5</f>
        <v>#DIV/0!</v>
      </c>
      <c r="T4" s="68">
        <v>0.0</v>
      </c>
      <c r="U4" s="70" t="str">
        <f>+T4/T5</f>
        <v>#DIV/0!</v>
      </c>
      <c r="V4" s="68">
        <v>0.0</v>
      </c>
      <c r="W4" s="70" t="str">
        <f>+V4/V5</f>
        <v>#DIV/0!</v>
      </c>
      <c r="X4" s="68">
        <v>0.0</v>
      </c>
      <c r="Y4" s="70" t="str">
        <f>+X4/X5</f>
        <v>#DIV/0!</v>
      </c>
    </row>
    <row r="5" ht="34.5" customHeight="1">
      <c r="A5" s="71" t="s">
        <v>37</v>
      </c>
      <c r="B5" s="72">
        <v>0.0</v>
      </c>
      <c r="C5" s="73"/>
      <c r="D5" s="74">
        <f>+'CONSOLIDADO PGIRHS '!D8</f>
        <v>1</v>
      </c>
      <c r="E5" s="73"/>
      <c r="F5" s="74">
        <f>+'CONSOLIDADO PGIRHS '!E8</f>
        <v>1</v>
      </c>
      <c r="G5" s="73"/>
      <c r="H5" s="74">
        <f>+'CONSOLIDADO PGIRHS '!F8</f>
        <v>1</v>
      </c>
      <c r="I5" s="73"/>
      <c r="J5" s="74">
        <f>+'CONSOLIDADO PGIRHS '!G8</f>
        <v>0</v>
      </c>
      <c r="K5" s="73"/>
      <c r="L5" s="74">
        <f>+'CONSOLIDADO PGIRHS '!H8</f>
        <v>1</v>
      </c>
      <c r="M5" s="73"/>
      <c r="N5" s="72">
        <v>0.0</v>
      </c>
      <c r="O5" s="73"/>
      <c r="P5" s="74">
        <f>+'CONSOLIDADO PGIRHS '!K8</f>
        <v>0</v>
      </c>
      <c r="Q5" s="73"/>
      <c r="R5" s="74">
        <f>+'CONSOLIDADO PGIRHS '!L8</f>
        <v>0</v>
      </c>
      <c r="S5" s="73"/>
      <c r="T5" s="74">
        <f>+'CONSOLIDADO PGIRHS '!M8</f>
        <v>0</v>
      </c>
      <c r="U5" s="73"/>
      <c r="V5" s="74">
        <f>+'CONSOLIDADO PGIRHS '!N8</f>
        <v>0</v>
      </c>
      <c r="W5" s="73"/>
      <c r="X5" s="74">
        <f>+'CONSOLIDADO PGIRHS '!O8</f>
        <v>0</v>
      </c>
      <c r="Y5" s="73"/>
    </row>
    <row r="6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</row>
    <row r="7" ht="21.75" customHeight="1">
      <c r="A7" s="62" t="s">
        <v>38</v>
      </c>
      <c r="B7" s="63" t="s">
        <v>2</v>
      </c>
      <c r="C7" s="64"/>
      <c r="D7" s="63" t="s">
        <v>3</v>
      </c>
      <c r="E7" s="64"/>
      <c r="F7" s="63" t="s">
        <v>4</v>
      </c>
      <c r="G7" s="64"/>
      <c r="H7" s="63" t="s">
        <v>5</v>
      </c>
      <c r="I7" s="64"/>
      <c r="J7" s="63" t="s">
        <v>6</v>
      </c>
      <c r="K7" s="64"/>
      <c r="L7" s="63" t="s">
        <v>7</v>
      </c>
      <c r="M7" s="64"/>
      <c r="N7" s="63" t="s">
        <v>9</v>
      </c>
      <c r="O7" s="64"/>
      <c r="P7" s="63" t="s">
        <v>10</v>
      </c>
      <c r="Q7" s="64"/>
      <c r="R7" s="63" t="s">
        <v>11</v>
      </c>
      <c r="S7" s="64"/>
      <c r="T7" s="63" t="s">
        <v>12</v>
      </c>
      <c r="U7" s="64"/>
      <c r="V7" s="63" t="s">
        <v>13</v>
      </c>
      <c r="W7" s="64"/>
      <c r="X7" s="63" t="s">
        <v>14</v>
      </c>
      <c r="Y7" s="65"/>
      <c r="Z7" s="66"/>
    </row>
    <row r="8" ht="41.25" customHeight="1">
      <c r="A8" s="67" t="s">
        <v>39</v>
      </c>
      <c r="B8" s="77">
        <f>+'CONSOLIDADO PGIRHS '!C5</f>
        <v>0</v>
      </c>
      <c r="C8" s="70" t="str">
        <f>+B8/B9</f>
        <v>#DIV/0!</v>
      </c>
      <c r="D8" s="78">
        <v>0.0</v>
      </c>
      <c r="E8" s="70">
        <f>+D8/D9</f>
        <v>0</v>
      </c>
      <c r="F8" s="78">
        <v>0.0</v>
      </c>
      <c r="G8" s="70">
        <f>+F8/F9</f>
        <v>0</v>
      </c>
      <c r="H8" s="78">
        <v>0.0</v>
      </c>
      <c r="I8" s="70">
        <f>+H8/H9</f>
        <v>0</v>
      </c>
      <c r="J8" s="78">
        <v>0.0</v>
      </c>
      <c r="K8" s="70" t="str">
        <f>+J8/J9</f>
        <v>#DIV/0!</v>
      </c>
      <c r="L8" s="78">
        <v>0.0</v>
      </c>
      <c r="M8" s="79">
        <v>0.0</v>
      </c>
      <c r="N8" s="77" t="str">
        <f>+'CONSOLIDADO PGIRHS '!J5</f>
        <v/>
      </c>
      <c r="O8" s="70" t="str">
        <f>+N8/N9</f>
        <v>#DIV/0!</v>
      </c>
      <c r="P8" s="77" t="str">
        <f>+'CONSOLIDADO PGIRHS '!K5</f>
        <v/>
      </c>
      <c r="Q8" s="70" t="str">
        <f>+P8/P9</f>
        <v>#DIV/0!</v>
      </c>
      <c r="R8" s="77" t="str">
        <f>+'CONSOLIDADO PGIRHS '!L5</f>
        <v/>
      </c>
      <c r="S8" s="70" t="str">
        <f>+R8/R9</f>
        <v>#DIV/0!</v>
      </c>
      <c r="T8" s="77" t="str">
        <f>+'CONSOLIDADO PGIRHS '!M5</f>
        <v/>
      </c>
      <c r="U8" s="70" t="str">
        <f>+T8/T9</f>
        <v>#DIV/0!</v>
      </c>
      <c r="V8" s="77" t="str">
        <f>+'CONSOLIDADO PGIRHS '!N5</f>
        <v/>
      </c>
      <c r="W8" s="70" t="str">
        <f>+V8/V9</f>
        <v>#DIV/0!</v>
      </c>
      <c r="X8" s="80" t="str">
        <f>+'CONSOLIDADO PGIRHS '!O5</f>
        <v/>
      </c>
      <c r="Y8" s="70" t="str">
        <f>+X8/X9</f>
        <v>#DIV/0!</v>
      </c>
    </row>
    <row r="9" ht="37.5" customHeight="1">
      <c r="A9" s="71" t="s">
        <v>40</v>
      </c>
      <c r="B9" s="74">
        <f>+'CONSOLIDADO PGIRHS '!C8</f>
        <v>0</v>
      </c>
      <c r="C9" s="73"/>
      <c r="D9" s="74">
        <f>+'CONSOLIDADO PGIRHS '!D8</f>
        <v>1</v>
      </c>
      <c r="E9" s="73"/>
      <c r="F9" s="74">
        <f>+'CONSOLIDADO PGIRHS '!E8</f>
        <v>1</v>
      </c>
      <c r="G9" s="73"/>
      <c r="H9" s="74">
        <f>+'CONSOLIDADO PGIRHS '!F8</f>
        <v>1</v>
      </c>
      <c r="I9" s="73"/>
      <c r="J9" s="74">
        <f>+'CONSOLIDADO PGIRHS '!G8</f>
        <v>0</v>
      </c>
      <c r="K9" s="73"/>
      <c r="L9" s="81">
        <f>+'CONSOLIDADO PGIRHS '!H8</f>
        <v>1</v>
      </c>
      <c r="M9" s="73"/>
      <c r="N9" s="81">
        <f>+'CONSOLIDADO PGIRHS '!J8</f>
        <v>0</v>
      </c>
      <c r="O9" s="73"/>
      <c r="P9" s="81">
        <f>+'CONSOLIDADO PGIRHS '!K8</f>
        <v>0</v>
      </c>
      <c r="Q9" s="73"/>
      <c r="R9" s="81">
        <f>+'CONSOLIDADO PGIRHS '!L8</f>
        <v>0</v>
      </c>
      <c r="S9" s="73"/>
      <c r="T9" s="81">
        <f>+'CONSOLIDADO PGIRHS '!M8</f>
        <v>0</v>
      </c>
      <c r="U9" s="73"/>
      <c r="V9" s="81">
        <f>+'CONSOLIDADO PGIRHS '!N8</f>
        <v>0</v>
      </c>
      <c r="W9" s="73"/>
      <c r="X9" s="81">
        <f>+'CONSOLIDADO PGIRHS '!O8</f>
        <v>0</v>
      </c>
      <c r="Y9" s="73"/>
    </row>
    <row r="10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 ht="23.25" customHeight="1">
      <c r="A11" s="62" t="s">
        <v>41</v>
      </c>
      <c r="B11" s="63" t="s">
        <v>2</v>
      </c>
      <c r="C11" s="64"/>
      <c r="D11" s="63" t="s">
        <v>3</v>
      </c>
      <c r="E11" s="64"/>
      <c r="F11" s="63" t="s">
        <v>4</v>
      </c>
      <c r="G11" s="64"/>
      <c r="H11" s="63" t="s">
        <v>5</v>
      </c>
      <c r="I11" s="64"/>
      <c r="J11" s="63" t="s">
        <v>6</v>
      </c>
      <c r="K11" s="64"/>
      <c r="L11" s="63" t="s">
        <v>7</v>
      </c>
      <c r="M11" s="64"/>
      <c r="N11" s="63" t="s">
        <v>9</v>
      </c>
      <c r="O11" s="64"/>
      <c r="P11" s="63" t="s">
        <v>10</v>
      </c>
      <c r="Q11" s="64"/>
      <c r="R11" s="63" t="s">
        <v>11</v>
      </c>
      <c r="S11" s="64"/>
      <c r="T11" s="63" t="s">
        <v>12</v>
      </c>
      <c r="U11" s="64"/>
      <c r="V11" s="63" t="s">
        <v>13</v>
      </c>
      <c r="W11" s="64"/>
      <c r="X11" s="63" t="s">
        <v>14</v>
      </c>
      <c r="Y11" s="65"/>
      <c r="Z11" s="66"/>
    </row>
    <row r="12" ht="27.0" customHeight="1">
      <c r="A12" s="67" t="s">
        <v>42</v>
      </c>
      <c r="B12" s="77" t="str">
        <f>+'CONSOLIDADO PGIRHS '!C6</f>
        <v>0,9</v>
      </c>
      <c r="C12" s="70" t="str">
        <f>+B12/B13</f>
        <v>#VALUE!</v>
      </c>
      <c r="D12" s="77" t="str">
        <f>+'CONSOLIDADO PGIRHS '!D6</f>
        <v>0,7</v>
      </c>
      <c r="E12" s="70" t="str">
        <f>+D12/D13</f>
        <v>#VALUE!</v>
      </c>
      <c r="F12" s="77" t="str">
        <f>+'CONSOLIDADO PGIRHS '!E6</f>
        <v>0,6</v>
      </c>
      <c r="G12" s="70" t="str">
        <f>+F12/F13</f>
        <v>#VALUE!</v>
      </c>
      <c r="H12" s="77" t="str">
        <f>+'CONSOLIDADO PGIRHS '!F6</f>
        <v>0,7</v>
      </c>
      <c r="I12" s="70" t="str">
        <f>+H12/H13</f>
        <v>#VALUE!</v>
      </c>
      <c r="J12" s="77" t="str">
        <f>+'CONSOLIDADO PGIRHS '!G6</f>
        <v>0,4</v>
      </c>
      <c r="K12" s="70" t="str">
        <f>+J12/J13</f>
        <v>#VALUE!</v>
      </c>
      <c r="L12" s="77" t="str">
        <f>+'CONSOLIDADO PGIRHS '!H6</f>
        <v>0,7</v>
      </c>
      <c r="M12" s="70" t="str">
        <f>+L12/L13</f>
        <v>#VALUE!</v>
      </c>
      <c r="N12" s="77" t="str">
        <f>+'CONSOLIDADO PGIRHS '!J6</f>
        <v/>
      </c>
      <c r="O12" s="70" t="str">
        <f>+N12/N13</f>
        <v>#DIV/0!</v>
      </c>
      <c r="P12" s="77" t="str">
        <f>+'CONSOLIDADO PGIRHS '!K6</f>
        <v/>
      </c>
      <c r="Q12" s="70" t="str">
        <f>+P12/P13</f>
        <v>#DIV/0!</v>
      </c>
      <c r="R12" s="77" t="str">
        <f>+'CONSOLIDADO PGIRHS '!L6</f>
        <v/>
      </c>
      <c r="S12" s="70" t="str">
        <f>+R12/R13</f>
        <v>#DIV/0!</v>
      </c>
      <c r="T12" s="77" t="str">
        <f>+'CONSOLIDADO PGIRHS '!M6</f>
        <v/>
      </c>
      <c r="U12" s="70" t="str">
        <f>+T12/T13</f>
        <v>#DIV/0!</v>
      </c>
      <c r="V12" s="77" t="str">
        <f>+'CONSOLIDADO PGIRHS '!N6</f>
        <v/>
      </c>
      <c r="W12" s="70" t="str">
        <f>+V12/V13</f>
        <v>#DIV/0!</v>
      </c>
      <c r="X12" s="77" t="str">
        <f>+'CONSOLIDADO PGIRHS '!O6</f>
        <v/>
      </c>
      <c r="Y12" s="70" t="str">
        <f>+X12/X13</f>
        <v>#DIV/0!</v>
      </c>
    </row>
    <row r="13" ht="35.25" customHeight="1">
      <c r="A13" s="71" t="s">
        <v>37</v>
      </c>
      <c r="B13" s="81">
        <f>+'CONSOLIDADO PGIRHS '!C8</f>
        <v>0</v>
      </c>
      <c r="C13" s="73"/>
      <c r="D13" s="81">
        <f>+'CONSOLIDADO PGIRHS '!D8</f>
        <v>1</v>
      </c>
      <c r="E13" s="73"/>
      <c r="F13" s="81">
        <f>+'CONSOLIDADO PGIRHS '!E8</f>
        <v>1</v>
      </c>
      <c r="G13" s="73"/>
      <c r="H13" s="81">
        <f>+'CONSOLIDADO PGIRHS '!F8</f>
        <v>1</v>
      </c>
      <c r="I13" s="73"/>
      <c r="J13" s="81">
        <f>+'CONSOLIDADO PGIRHS '!G8</f>
        <v>0</v>
      </c>
      <c r="K13" s="73"/>
      <c r="L13" s="81">
        <f>+'CONSOLIDADO PGIRHS '!H8</f>
        <v>1</v>
      </c>
      <c r="M13" s="73"/>
      <c r="N13" s="81">
        <f>+'CONSOLIDADO PGIRHS '!J8</f>
        <v>0</v>
      </c>
      <c r="O13" s="73"/>
      <c r="P13" s="81">
        <f>+'CONSOLIDADO PGIRHS '!K8</f>
        <v>0</v>
      </c>
      <c r="Q13" s="73"/>
      <c r="R13" s="81">
        <f>+'CONSOLIDADO PGIRHS '!L8</f>
        <v>0</v>
      </c>
      <c r="S13" s="73"/>
      <c r="T13" s="81">
        <f>+'CONSOLIDADO PGIRHS '!M8</f>
        <v>0</v>
      </c>
      <c r="U13" s="73"/>
      <c r="V13" s="81">
        <f>+'CONSOLIDADO PGIRHS '!N8</f>
        <v>0</v>
      </c>
      <c r="W13" s="73"/>
      <c r="X13" s="81">
        <f>+'CONSOLIDADO PGIRHS '!O8</f>
        <v>0</v>
      </c>
      <c r="Y13" s="73"/>
    </row>
    <row r="14">
      <c r="A14" s="82"/>
      <c r="B14" s="76"/>
      <c r="C14" s="75"/>
      <c r="D14" s="76"/>
      <c r="E14" s="75"/>
      <c r="F14" s="76"/>
      <c r="G14" s="75"/>
      <c r="H14" s="76"/>
      <c r="I14" s="75"/>
      <c r="J14" s="76"/>
      <c r="K14" s="75"/>
      <c r="L14" s="76"/>
      <c r="M14" s="83"/>
      <c r="N14" s="76"/>
      <c r="O14" s="75"/>
      <c r="P14" s="76"/>
      <c r="Q14" s="75"/>
      <c r="R14" s="76"/>
      <c r="S14" s="75"/>
      <c r="T14" s="76"/>
      <c r="U14" s="75"/>
      <c r="V14" s="76"/>
      <c r="W14" s="75"/>
      <c r="X14" s="76"/>
      <c r="Y14" s="75"/>
    </row>
    <row r="15" ht="33.75" customHeight="1">
      <c r="A15" s="62" t="s">
        <v>43</v>
      </c>
      <c r="B15" s="63" t="s">
        <v>44</v>
      </c>
      <c r="C15" s="64"/>
      <c r="D15" s="63" t="s">
        <v>45</v>
      </c>
      <c r="E15" s="64"/>
      <c r="F15" s="63" t="s">
        <v>46</v>
      </c>
      <c r="G15" s="6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66"/>
    </row>
    <row r="16" ht="26.25" customHeight="1">
      <c r="A16" s="67" t="s">
        <v>47</v>
      </c>
      <c r="B16" s="68">
        <v>2.0</v>
      </c>
      <c r="C16" s="70">
        <f>+B16/B17</f>
        <v>1</v>
      </c>
      <c r="D16" s="85">
        <v>0.0</v>
      </c>
      <c r="E16" s="70" t="str">
        <f>+D16/D17</f>
        <v>#DIV/0!</v>
      </c>
      <c r="F16" s="85">
        <v>0.0</v>
      </c>
      <c r="G16" s="70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 ht="27.75" customHeight="1">
      <c r="A17" s="71" t="s">
        <v>48</v>
      </c>
      <c r="B17" s="86">
        <v>2.0</v>
      </c>
      <c r="C17" s="73"/>
      <c r="D17" s="87">
        <v>0.0</v>
      </c>
      <c r="E17" s="73"/>
      <c r="F17" s="87">
        <v>0.0</v>
      </c>
      <c r="G17" s="73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82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</row>
    <row r="19">
      <c r="A19" s="62" t="s">
        <v>49</v>
      </c>
      <c r="B19" s="63" t="s">
        <v>2</v>
      </c>
      <c r="C19" s="64"/>
      <c r="D19" s="63" t="s">
        <v>3</v>
      </c>
      <c r="E19" s="64"/>
      <c r="F19" s="63" t="s">
        <v>4</v>
      </c>
      <c r="G19" s="64"/>
      <c r="H19" s="63" t="s">
        <v>5</v>
      </c>
      <c r="I19" s="64"/>
      <c r="J19" s="63" t="s">
        <v>6</v>
      </c>
      <c r="K19" s="64"/>
      <c r="L19" s="63" t="s">
        <v>7</v>
      </c>
      <c r="M19" s="64"/>
      <c r="N19" s="63" t="s">
        <v>9</v>
      </c>
      <c r="O19" s="64"/>
      <c r="P19" s="63" t="s">
        <v>10</v>
      </c>
      <c r="Q19" s="64"/>
      <c r="R19" s="63" t="s">
        <v>11</v>
      </c>
      <c r="S19" s="64"/>
      <c r="T19" s="63" t="s">
        <v>12</v>
      </c>
      <c r="U19" s="64"/>
      <c r="V19" s="63" t="s">
        <v>13</v>
      </c>
      <c r="W19" s="64"/>
      <c r="X19" s="63" t="s">
        <v>14</v>
      </c>
      <c r="Y19" s="65"/>
      <c r="Z19" s="66"/>
    </row>
    <row r="20" ht="30.0" customHeight="1">
      <c r="A20" s="67" t="s">
        <v>50</v>
      </c>
      <c r="B20" s="85">
        <v>0.0</v>
      </c>
      <c r="C20" s="70">
        <f>+B20/B21</f>
        <v>0</v>
      </c>
      <c r="D20" s="85">
        <v>0.0</v>
      </c>
      <c r="E20" s="70">
        <f>+D20/D21</f>
        <v>0</v>
      </c>
      <c r="F20" s="85">
        <v>0.0</v>
      </c>
      <c r="G20" s="70">
        <f>+F20/F21</f>
        <v>0</v>
      </c>
      <c r="H20" s="85">
        <v>0.0</v>
      </c>
      <c r="I20" s="70">
        <f>+H20/H21</f>
        <v>0</v>
      </c>
      <c r="J20" s="85">
        <v>0.0</v>
      </c>
      <c r="K20" s="70">
        <f>+J20/J21</f>
        <v>0</v>
      </c>
      <c r="L20" s="85">
        <v>0.0</v>
      </c>
      <c r="M20" s="70">
        <f>+L20/L21</f>
        <v>0</v>
      </c>
      <c r="N20" s="85">
        <v>0.0</v>
      </c>
      <c r="O20" s="70">
        <f>+N20/N21</f>
        <v>0</v>
      </c>
      <c r="P20" s="85">
        <v>0.0</v>
      </c>
      <c r="Q20" s="70" t="str">
        <f>+P20/P21</f>
        <v>#DIV/0!</v>
      </c>
      <c r="R20" s="85">
        <v>0.0</v>
      </c>
      <c r="S20" s="70"/>
      <c r="T20" s="85">
        <v>0.0</v>
      </c>
      <c r="U20" s="70" t="str">
        <f>+T20/T21</f>
        <v>#DIV/0!</v>
      </c>
      <c r="V20" s="85">
        <v>0.0</v>
      </c>
      <c r="W20" s="70" t="str">
        <f>+V20/V21</f>
        <v>#DIV/0!</v>
      </c>
      <c r="X20" s="85">
        <v>0.0</v>
      </c>
      <c r="Y20" s="70" t="str">
        <f>+X20/X21</f>
        <v>#DIV/0!</v>
      </c>
    </row>
    <row r="21" ht="27.75" customHeight="1">
      <c r="A21" s="71" t="s">
        <v>51</v>
      </c>
      <c r="B21" s="86">
        <v>44.0</v>
      </c>
      <c r="C21" s="73"/>
      <c r="D21" s="86">
        <v>44.0</v>
      </c>
      <c r="E21" s="73"/>
      <c r="F21" s="86">
        <v>44.0</v>
      </c>
      <c r="G21" s="73"/>
      <c r="H21" s="86">
        <v>44.0</v>
      </c>
      <c r="I21" s="73"/>
      <c r="J21" s="86">
        <v>44.0</v>
      </c>
      <c r="K21" s="73"/>
      <c r="L21" s="86">
        <v>44.0</v>
      </c>
      <c r="M21" s="73"/>
      <c r="N21" s="86">
        <v>44.0</v>
      </c>
      <c r="O21" s="73"/>
      <c r="P21" s="87"/>
      <c r="Q21" s="73"/>
      <c r="R21" s="87"/>
      <c r="S21" s="73"/>
      <c r="T21" s="87"/>
      <c r="U21" s="73"/>
      <c r="V21" s="87"/>
      <c r="W21" s="73"/>
      <c r="X21" s="87"/>
      <c r="Y21" s="73"/>
    </row>
    <row r="22" ht="15.75" customHeight="1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</row>
    <row r="23" ht="15.75" customHeight="1">
      <c r="A23" s="62" t="s">
        <v>52</v>
      </c>
      <c r="B23" s="63" t="s">
        <v>2</v>
      </c>
      <c r="C23" s="64"/>
      <c r="D23" s="63" t="s">
        <v>3</v>
      </c>
      <c r="E23" s="64"/>
      <c r="F23" s="63" t="s">
        <v>4</v>
      </c>
      <c r="G23" s="64"/>
      <c r="H23" s="63" t="s">
        <v>5</v>
      </c>
      <c r="I23" s="64"/>
      <c r="J23" s="63" t="s">
        <v>6</v>
      </c>
      <c r="K23" s="64"/>
      <c r="L23" s="63" t="s">
        <v>7</v>
      </c>
      <c r="M23" s="64"/>
      <c r="N23" s="63" t="s">
        <v>9</v>
      </c>
      <c r="O23" s="64"/>
      <c r="P23" s="63" t="s">
        <v>10</v>
      </c>
      <c r="Q23" s="64"/>
      <c r="R23" s="63" t="s">
        <v>11</v>
      </c>
      <c r="S23" s="64"/>
      <c r="T23" s="63" t="s">
        <v>12</v>
      </c>
      <c r="U23" s="64"/>
      <c r="V23" s="63" t="s">
        <v>13</v>
      </c>
      <c r="W23" s="64"/>
      <c r="X23" s="63" t="s">
        <v>14</v>
      </c>
      <c r="Y23" s="65"/>
      <c r="Z23" s="66"/>
    </row>
    <row r="24" ht="25.5" customHeight="1">
      <c r="A24" s="67" t="s">
        <v>53</v>
      </c>
      <c r="B24" s="85">
        <v>0.0</v>
      </c>
      <c r="C24" s="70">
        <f>+B24/B25</f>
        <v>0</v>
      </c>
      <c r="D24" s="85">
        <v>0.0</v>
      </c>
      <c r="E24" s="70">
        <f>+D24/D25</f>
        <v>0</v>
      </c>
      <c r="F24" s="85">
        <v>0.0</v>
      </c>
      <c r="G24" s="70">
        <f>+F24/F25</f>
        <v>0</v>
      </c>
      <c r="H24" s="85">
        <v>0.0</v>
      </c>
      <c r="I24" s="70">
        <f>+H24/H25</f>
        <v>0</v>
      </c>
      <c r="J24" s="85">
        <v>0.0</v>
      </c>
      <c r="K24" s="70">
        <f>+J24/J25</f>
        <v>0</v>
      </c>
      <c r="L24" s="85">
        <v>0.0</v>
      </c>
      <c r="M24" s="70">
        <f>+L24/L25</f>
        <v>0</v>
      </c>
      <c r="N24" s="85">
        <v>0.0</v>
      </c>
      <c r="O24" s="70">
        <f>+N24/N25</f>
        <v>0</v>
      </c>
      <c r="P24" s="85">
        <v>0.0</v>
      </c>
      <c r="Q24" s="70" t="str">
        <f>+P24/P25</f>
        <v>#DIV/0!</v>
      </c>
      <c r="R24" s="85">
        <v>0.0</v>
      </c>
      <c r="S24" s="70" t="str">
        <f>+R24/R25</f>
        <v>#DIV/0!</v>
      </c>
      <c r="T24" s="85">
        <v>0.0</v>
      </c>
      <c r="U24" s="70" t="str">
        <f>+T24/T25</f>
        <v>#DIV/0!</v>
      </c>
      <c r="V24" s="85">
        <v>0.0</v>
      </c>
      <c r="W24" s="70" t="str">
        <f>+V24/V25</f>
        <v>#DIV/0!</v>
      </c>
      <c r="X24" s="85">
        <v>0.0</v>
      </c>
      <c r="Y24" s="70" t="str">
        <f>+X24/X25</f>
        <v>#DIV/0!</v>
      </c>
    </row>
    <row r="25" ht="27.75" customHeight="1">
      <c r="A25" s="71" t="s">
        <v>51</v>
      </c>
      <c r="B25" s="86">
        <v>44.0</v>
      </c>
      <c r="C25" s="73"/>
      <c r="D25" s="86">
        <v>44.0</v>
      </c>
      <c r="E25" s="73"/>
      <c r="F25" s="86">
        <v>44.0</v>
      </c>
      <c r="G25" s="73"/>
      <c r="H25" s="86">
        <v>44.0</v>
      </c>
      <c r="I25" s="73"/>
      <c r="J25" s="86">
        <v>44.0</v>
      </c>
      <c r="K25" s="73"/>
      <c r="L25" s="86">
        <v>44.0</v>
      </c>
      <c r="M25" s="73"/>
      <c r="N25" s="86">
        <v>44.0</v>
      </c>
      <c r="O25" s="73"/>
      <c r="P25" s="87"/>
      <c r="Q25" s="73"/>
      <c r="R25" s="87"/>
      <c r="S25" s="73"/>
      <c r="T25" s="87"/>
      <c r="U25" s="73"/>
      <c r="V25" s="87"/>
      <c r="W25" s="73"/>
      <c r="X25" s="87"/>
      <c r="Y25" s="73"/>
    </row>
    <row r="26" ht="15.75" customHeight="1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88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</row>
    <row r="27" ht="15.75" customHeight="1">
      <c r="A27" s="89" t="s">
        <v>54</v>
      </c>
      <c r="B27" s="90" t="s">
        <v>2</v>
      </c>
      <c r="C27" s="91"/>
      <c r="D27" s="90" t="s">
        <v>3</v>
      </c>
      <c r="E27" s="91"/>
      <c r="F27" s="90" t="s">
        <v>4</v>
      </c>
      <c r="G27" s="91"/>
      <c r="H27" s="90" t="s">
        <v>5</v>
      </c>
      <c r="I27" s="91"/>
      <c r="J27" s="90" t="s">
        <v>6</v>
      </c>
      <c r="K27" s="91"/>
      <c r="L27" s="90" t="s">
        <v>7</v>
      </c>
      <c r="M27" s="91"/>
      <c r="N27" s="90" t="s">
        <v>9</v>
      </c>
      <c r="O27" s="91"/>
      <c r="P27" s="90" t="s">
        <v>10</v>
      </c>
      <c r="Q27" s="91"/>
      <c r="R27" s="90" t="s">
        <v>11</v>
      </c>
      <c r="S27" s="91"/>
      <c r="T27" s="90" t="s">
        <v>12</v>
      </c>
      <c r="U27" s="91"/>
      <c r="V27" s="90" t="s">
        <v>13</v>
      </c>
      <c r="W27" s="91"/>
      <c r="X27" s="90" t="s">
        <v>14</v>
      </c>
      <c r="Y27" s="92"/>
    </row>
    <row r="28" ht="18.75" customHeight="1">
      <c r="A28" s="93" t="s">
        <v>55</v>
      </c>
      <c r="B28" s="85">
        <v>0.0</v>
      </c>
      <c r="C28" s="70">
        <f>+B28/B29</f>
        <v>0</v>
      </c>
      <c r="D28" s="85">
        <v>0.0</v>
      </c>
      <c r="E28" s="70">
        <f>+D28/D29</f>
        <v>0</v>
      </c>
      <c r="F28" s="85">
        <v>0.0</v>
      </c>
      <c r="G28" s="70">
        <f>+F28/F29</f>
        <v>0</v>
      </c>
      <c r="H28" s="85">
        <v>0.0</v>
      </c>
      <c r="I28" s="70">
        <f>+H28/H29</f>
        <v>0</v>
      </c>
      <c r="J28" s="85">
        <v>0.0</v>
      </c>
      <c r="K28" s="70">
        <f>+J28/J29</f>
        <v>0</v>
      </c>
      <c r="L28" s="85">
        <v>0.0</v>
      </c>
      <c r="M28" s="70">
        <f>+L28/L29</f>
        <v>0</v>
      </c>
      <c r="N28" s="85">
        <v>0.0</v>
      </c>
      <c r="O28" s="70">
        <f>+N28/N29</f>
        <v>0</v>
      </c>
      <c r="P28" s="85">
        <v>0.0</v>
      </c>
      <c r="Q28" s="70" t="str">
        <f>+P28/P29</f>
        <v>#DIV/0!</v>
      </c>
      <c r="R28" s="85">
        <v>0.0</v>
      </c>
      <c r="S28" s="70" t="str">
        <f>+R28/R29</f>
        <v>#DIV/0!</v>
      </c>
      <c r="T28" s="85">
        <v>0.0</v>
      </c>
      <c r="U28" s="70" t="str">
        <f>+T28/T29</f>
        <v>#DIV/0!</v>
      </c>
      <c r="V28" s="85">
        <v>0.0</v>
      </c>
      <c r="W28" s="70" t="str">
        <f>+V28/V29</f>
        <v>#DIV/0!</v>
      </c>
      <c r="X28" s="85">
        <v>0.0</v>
      </c>
      <c r="Y28" s="70" t="str">
        <f>+X28/X29</f>
        <v>#DIV/0!</v>
      </c>
    </row>
    <row r="29" ht="26.25" customHeight="1">
      <c r="A29" s="71" t="s">
        <v>56</v>
      </c>
      <c r="B29" s="86">
        <v>4.0</v>
      </c>
      <c r="C29" s="73"/>
      <c r="D29" s="86">
        <v>4.0</v>
      </c>
      <c r="E29" s="73"/>
      <c r="F29" s="86">
        <v>4.0</v>
      </c>
      <c r="G29" s="73"/>
      <c r="H29" s="86">
        <v>4.0</v>
      </c>
      <c r="I29" s="73"/>
      <c r="J29" s="86">
        <v>4.0</v>
      </c>
      <c r="K29" s="73"/>
      <c r="L29" s="86">
        <v>4.0</v>
      </c>
      <c r="M29" s="73"/>
      <c r="N29" s="86">
        <v>4.0</v>
      </c>
      <c r="O29" s="73"/>
      <c r="P29" s="87"/>
      <c r="Q29" s="73"/>
      <c r="R29" s="87"/>
      <c r="S29" s="73"/>
      <c r="T29" s="87"/>
      <c r="U29" s="73"/>
      <c r="V29" s="87"/>
      <c r="W29" s="73"/>
      <c r="X29" s="87"/>
      <c r="Y29" s="73"/>
    </row>
    <row r="30" ht="15.75" customHeight="1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</row>
    <row r="31" ht="15.7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ht="15.7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ht="15.7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ht="15.7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ht="15.7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2">
    <mergeCell ref="P3:Q3"/>
    <mergeCell ref="R3:S3"/>
    <mergeCell ref="T3:U3"/>
    <mergeCell ref="V3:W3"/>
    <mergeCell ref="B1:V1"/>
    <mergeCell ref="W1:Y1"/>
    <mergeCell ref="B3:C3"/>
    <mergeCell ref="D3:E3"/>
    <mergeCell ref="F3:G3"/>
    <mergeCell ref="H3:I3"/>
    <mergeCell ref="J3:K3"/>
    <mergeCell ref="X3:Y3"/>
    <mergeCell ref="M4:M5"/>
    <mergeCell ref="O4:O5"/>
    <mergeCell ref="Q4:Q5"/>
    <mergeCell ref="S4:S5"/>
    <mergeCell ref="U4:U5"/>
    <mergeCell ref="W4:W5"/>
    <mergeCell ref="Y4:Y5"/>
    <mergeCell ref="L3:M3"/>
    <mergeCell ref="N3:O3"/>
    <mergeCell ref="C4:C5"/>
    <mergeCell ref="E4:E5"/>
    <mergeCell ref="G4:G5"/>
    <mergeCell ref="I4:I5"/>
    <mergeCell ref="K4:K5"/>
    <mergeCell ref="P7:Q7"/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  <mergeCell ref="N7:O7"/>
    <mergeCell ref="Q8:Q9"/>
    <mergeCell ref="S8:S9"/>
    <mergeCell ref="U8:U9"/>
    <mergeCell ref="W8:W9"/>
    <mergeCell ref="Y8:Y9"/>
    <mergeCell ref="C8:C9"/>
    <mergeCell ref="E8:E9"/>
    <mergeCell ref="G8:G9"/>
    <mergeCell ref="I8:I9"/>
    <mergeCell ref="K8:K9"/>
    <mergeCell ref="M8:M9"/>
    <mergeCell ref="O8:O9"/>
    <mergeCell ref="P11:Q11"/>
    <mergeCell ref="R11:S11"/>
    <mergeCell ref="T11:U11"/>
    <mergeCell ref="V11:W11"/>
    <mergeCell ref="X11:Y11"/>
    <mergeCell ref="B11:C11"/>
    <mergeCell ref="D11:E11"/>
    <mergeCell ref="F11:G11"/>
    <mergeCell ref="H11:I11"/>
    <mergeCell ref="J11:K11"/>
    <mergeCell ref="L11:M11"/>
    <mergeCell ref="N11:O11"/>
    <mergeCell ref="Q12:Q13"/>
    <mergeCell ref="S12:S13"/>
    <mergeCell ref="U12:U13"/>
    <mergeCell ref="W12:W13"/>
    <mergeCell ref="Y12:Y13"/>
    <mergeCell ref="V19:W19"/>
    <mergeCell ref="X19:Y19"/>
    <mergeCell ref="C12:C13"/>
    <mergeCell ref="E12:E13"/>
    <mergeCell ref="G12:G13"/>
    <mergeCell ref="I12:I13"/>
    <mergeCell ref="K12:K13"/>
    <mergeCell ref="M12:M13"/>
    <mergeCell ref="O12:O13"/>
    <mergeCell ref="B15:C15"/>
    <mergeCell ref="D15:E15"/>
    <mergeCell ref="F15:G15"/>
    <mergeCell ref="C16:C17"/>
    <mergeCell ref="E16:E17"/>
    <mergeCell ref="G16:G17"/>
    <mergeCell ref="B19:C19"/>
    <mergeCell ref="Q24:Q25"/>
    <mergeCell ref="S24:S25"/>
    <mergeCell ref="U24:U25"/>
    <mergeCell ref="W24:W25"/>
    <mergeCell ref="Y24:Y25"/>
    <mergeCell ref="C24:C25"/>
    <mergeCell ref="E24:E25"/>
    <mergeCell ref="G24:G25"/>
    <mergeCell ref="I24:I25"/>
    <mergeCell ref="K24:K25"/>
    <mergeCell ref="M24:M25"/>
    <mergeCell ref="O24:O25"/>
    <mergeCell ref="P27:Q27"/>
    <mergeCell ref="R27:S27"/>
    <mergeCell ref="T27:U27"/>
    <mergeCell ref="V27:W27"/>
    <mergeCell ref="X27:Y27"/>
    <mergeCell ref="B27:C27"/>
    <mergeCell ref="D27:E27"/>
    <mergeCell ref="F27:G27"/>
    <mergeCell ref="H27:I27"/>
    <mergeCell ref="J27:K27"/>
    <mergeCell ref="L27:M27"/>
    <mergeCell ref="N27:O27"/>
    <mergeCell ref="R19:S19"/>
    <mergeCell ref="T19:U19"/>
    <mergeCell ref="D19:E19"/>
    <mergeCell ref="F19:G19"/>
    <mergeCell ref="H19:I19"/>
    <mergeCell ref="J19:K19"/>
    <mergeCell ref="L19:M19"/>
    <mergeCell ref="N19:O19"/>
    <mergeCell ref="P19:Q19"/>
    <mergeCell ref="Q20:Q21"/>
    <mergeCell ref="S20:S21"/>
    <mergeCell ref="U20:U21"/>
    <mergeCell ref="W20:W21"/>
    <mergeCell ref="Y20:Y21"/>
    <mergeCell ref="C20:C21"/>
    <mergeCell ref="E20:E21"/>
    <mergeCell ref="G20:G21"/>
    <mergeCell ref="I20:I21"/>
    <mergeCell ref="K20:K21"/>
    <mergeCell ref="M20:M21"/>
    <mergeCell ref="O20:O21"/>
    <mergeCell ref="P23:Q23"/>
    <mergeCell ref="R23:S23"/>
    <mergeCell ref="T23:U23"/>
    <mergeCell ref="V23:W23"/>
    <mergeCell ref="X23:Y23"/>
    <mergeCell ref="B23:C23"/>
    <mergeCell ref="D23:E23"/>
    <mergeCell ref="F23:G23"/>
    <mergeCell ref="H23:I23"/>
    <mergeCell ref="J23:K23"/>
    <mergeCell ref="L23:M23"/>
    <mergeCell ref="N23:O23"/>
    <mergeCell ref="Q28:Q29"/>
    <mergeCell ref="S28:S29"/>
    <mergeCell ref="U28:U29"/>
    <mergeCell ref="W28:W29"/>
    <mergeCell ref="Y28:Y29"/>
    <mergeCell ref="C28:C29"/>
    <mergeCell ref="E28:E29"/>
    <mergeCell ref="G28:G29"/>
    <mergeCell ref="I28:I29"/>
    <mergeCell ref="K28:K29"/>
    <mergeCell ref="M28:M29"/>
    <mergeCell ref="O28:O29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19.0"/>
    <col customWidth="1" min="3" max="3" width="15.38"/>
    <col customWidth="1" min="4" max="4" width="10.25"/>
    <col customWidth="1" min="5" max="5" width="14.0"/>
    <col customWidth="1" min="6" max="6" width="12.5"/>
    <col customWidth="1" min="7" max="7" width="14.75"/>
    <col customWidth="1" min="8" max="8" width="18.75"/>
    <col customWidth="1" min="9" max="9" width="16.13"/>
    <col customWidth="1" min="10" max="10" width="15.13"/>
    <col customWidth="1" min="11" max="11" width="14.75"/>
    <col customWidth="1" min="12" max="12" width="13.88"/>
    <col customWidth="1" min="13" max="13" width="9.38"/>
    <col customWidth="1" min="14" max="14" width="12.75"/>
    <col customWidth="1" min="15" max="15" width="14.13"/>
    <col customWidth="1" min="16" max="16" width="14.63"/>
    <col customWidth="1" min="17" max="26" width="9.38"/>
  </cols>
  <sheetData>
    <row r="1" ht="69.0" customHeight="1">
      <c r="B1" s="94"/>
      <c r="C1" s="95" t="s">
        <v>57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59" t="s">
        <v>34</v>
      </c>
      <c r="P1" s="55"/>
    </row>
    <row r="2" ht="9.75" customHeight="1"/>
    <row r="3">
      <c r="A3" s="46"/>
      <c r="B3" s="13" t="s">
        <v>58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63</v>
      </c>
      <c r="H3" s="13" t="s">
        <v>64</v>
      </c>
      <c r="I3" s="13" t="s">
        <v>65</v>
      </c>
      <c r="J3" s="13" t="s">
        <v>66</v>
      </c>
      <c r="K3" s="13" t="s">
        <v>67</v>
      </c>
      <c r="L3" s="13" t="s">
        <v>68</v>
      </c>
      <c r="M3" s="13" t="s">
        <v>69</v>
      </c>
      <c r="N3" s="13" t="s">
        <v>70</v>
      </c>
      <c r="O3" s="13" t="s">
        <v>71</v>
      </c>
      <c r="P3" s="13" t="s">
        <v>72</v>
      </c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24.75" customHeight="1">
      <c r="A4" s="96"/>
      <c r="B4" s="97"/>
      <c r="C4" s="97" t="s">
        <v>73</v>
      </c>
      <c r="D4" s="97" t="s">
        <v>74</v>
      </c>
      <c r="E4" s="98">
        <f>+'CONSOLIDADO PGIRHS '!I9</f>
        <v>1</v>
      </c>
      <c r="F4" s="98">
        <f>+'CONSOLIDADO PGIRHS '!I10</f>
        <v>3</v>
      </c>
      <c r="G4" s="98">
        <f>SUM(E4:F4)</f>
        <v>4</v>
      </c>
      <c r="H4" s="99">
        <v>0.0</v>
      </c>
      <c r="I4" s="100">
        <f>+'CONSOLIDADO PGIRHS '!I6</f>
        <v>0</v>
      </c>
      <c r="J4" s="101">
        <v>0.0</v>
      </c>
      <c r="K4" s="101">
        <v>0.0</v>
      </c>
      <c r="L4" s="97" t="s">
        <v>75</v>
      </c>
      <c r="M4" s="102">
        <v>1.0</v>
      </c>
      <c r="N4" s="102">
        <v>0.0</v>
      </c>
      <c r="O4" s="102">
        <v>0.0</v>
      </c>
      <c r="P4" s="97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20.25" customHeight="1">
      <c r="B5" s="97" t="s">
        <v>76</v>
      </c>
      <c r="C5" s="103"/>
      <c r="D5" s="103"/>
      <c r="E5" s="103"/>
      <c r="F5" s="103"/>
      <c r="G5" s="103"/>
      <c r="H5" s="97" t="s">
        <v>20</v>
      </c>
      <c r="I5" s="103"/>
      <c r="J5" s="97" t="s">
        <v>77</v>
      </c>
      <c r="K5" s="103"/>
      <c r="L5" s="103"/>
      <c r="M5" s="103"/>
      <c r="N5" s="103"/>
      <c r="O5" s="103"/>
      <c r="P5" s="1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N1"/>
    <mergeCell ref="O1:P1"/>
  </mergeCells>
  <printOptions/>
  <pageMargins bottom="0.7480314960629921" footer="0.0" header="0.0" left="0.7086614173228347" right="0.7086614173228347" top="0.7480314960629921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2" width="28.88"/>
    <col customWidth="1" min="3" max="3" width="10.25"/>
    <col customWidth="1" min="4" max="4" width="10.13"/>
    <col customWidth="1" min="5" max="5" width="12.25"/>
    <col customWidth="1" min="6" max="6" width="22.0"/>
    <col customWidth="1" min="7" max="7" width="21.5"/>
    <col customWidth="1" min="8" max="8" width="21.75"/>
    <col customWidth="1" min="9" max="9" width="24.5"/>
    <col customWidth="1" min="10" max="10" width="24.63"/>
    <col customWidth="1" min="11" max="11" width="11.88"/>
    <col customWidth="1" min="12" max="12" width="10.0"/>
    <col customWidth="1" min="13" max="14" width="11.0"/>
    <col customWidth="1" min="15" max="16" width="10.0"/>
    <col customWidth="1" min="17" max="26" width="9.38"/>
  </cols>
  <sheetData>
    <row r="1" ht="32.25" customHeight="1">
      <c r="A1" s="57"/>
      <c r="B1" s="104"/>
      <c r="C1" s="105" t="s">
        <v>78</v>
      </c>
      <c r="D1" s="106"/>
      <c r="E1" s="106"/>
      <c r="F1" s="106"/>
      <c r="G1" s="106"/>
      <c r="H1" s="106"/>
      <c r="I1" s="106"/>
      <c r="J1" s="106"/>
      <c r="K1" s="106"/>
      <c r="L1" s="106"/>
      <c r="M1" s="107"/>
      <c r="N1" s="108" t="s">
        <v>34</v>
      </c>
      <c r="O1" s="106"/>
      <c r="P1" s="107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32.25" customHeight="1">
      <c r="B2" s="104"/>
      <c r="C2" s="109"/>
      <c r="M2" s="104"/>
      <c r="N2" s="109"/>
      <c r="P2" s="10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2.25" customHeight="1">
      <c r="A3" s="3"/>
      <c r="B3" s="110"/>
      <c r="C3" s="111"/>
      <c r="D3" s="3"/>
      <c r="E3" s="3"/>
      <c r="F3" s="3"/>
      <c r="G3" s="3"/>
      <c r="H3" s="3"/>
      <c r="I3" s="3"/>
      <c r="J3" s="3"/>
      <c r="K3" s="3"/>
      <c r="L3" s="3"/>
      <c r="M3" s="110"/>
      <c r="N3" s="111"/>
      <c r="O3" s="3"/>
      <c r="P3" s="110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1.0" customHeight="1">
      <c r="A5" s="112" t="s">
        <v>79</v>
      </c>
      <c r="B5" s="113" t="s">
        <v>80</v>
      </c>
      <c r="C5" s="113" t="s">
        <v>81</v>
      </c>
      <c r="D5" s="113" t="s">
        <v>82</v>
      </c>
      <c r="E5" s="113" t="s">
        <v>83</v>
      </c>
      <c r="F5" s="114" t="s">
        <v>84</v>
      </c>
      <c r="G5" s="55"/>
      <c r="H5" s="113" t="s">
        <v>85</v>
      </c>
      <c r="I5" s="114" t="s">
        <v>86</v>
      </c>
      <c r="J5" s="55"/>
      <c r="K5" s="113" t="s">
        <v>87</v>
      </c>
      <c r="L5" s="114" t="s">
        <v>88</v>
      </c>
      <c r="M5" s="54"/>
      <c r="N5" s="54"/>
      <c r="O5" s="55"/>
      <c r="P5" s="113" t="s">
        <v>89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21.0" customHeight="1">
      <c r="A6" s="116"/>
      <c r="B6" s="117"/>
      <c r="C6" s="117"/>
      <c r="D6" s="117"/>
      <c r="E6" s="117"/>
      <c r="F6" s="118" t="s">
        <v>90</v>
      </c>
      <c r="G6" s="118" t="s">
        <v>91</v>
      </c>
      <c r="H6" s="117"/>
      <c r="I6" s="118" t="s">
        <v>90</v>
      </c>
      <c r="J6" s="118" t="s">
        <v>91</v>
      </c>
      <c r="K6" s="117"/>
      <c r="L6" s="118" t="s">
        <v>92</v>
      </c>
      <c r="M6" s="118" t="s">
        <v>93</v>
      </c>
      <c r="N6" s="118" t="s">
        <v>94</v>
      </c>
      <c r="O6" s="118" t="s">
        <v>95</v>
      </c>
      <c r="P6" s="117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51.0" customHeight="1">
      <c r="A7" s="119" t="s">
        <v>35</v>
      </c>
      <c r="B7" s="119" t="s">
        <v>96</v>
      </c>
      <c r="C7" s="120" t="s">
        <v>97</v>
      </c>
      <c r="D7" s="120" t="s">
        <v>98</v>
      </c>
      <c r="E7" s="121" t="s">
        <v>99</v>
      </c>
      <c r="F7" s="119" t="s">
        <v>36</v>
      </c>
      <c r="G7" s="119" t="s">
        <v>100</v>
      </c>
      <c r="H7" s="120" t="s">
        <v>101</v>
      </c>
      <c r="I7" s="119" t="s">
        <v>102</v>
      </c>
      <c r="J7" s="119" t="s">
        <v>102</v>
      </c>
      <c r="K7" s="121" t="s">
        <v>103</v>
      </c>
      <c r="L7" s="120" t="s">
        <v>104</v>
      </c>
      <c r="M7" s="120"/>
      <c r="N7" s="120"/>
      <c r="O7" s="120"/>
      <c r="P7" s="122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54.75" customHeight="1">
      <c r="A8" s="123" t="s">
        <v>38</v>
      </c>
      <c r="B8" s="119" t="s">
        <v>105</v>
      </c>
      <c r="C8" s="120" t="s">
        <v>97</v>
      </c>
      <c r="D8" s="121" t="s">
        <v>98</v>
      </c>
      <c r="E8" s="121" t="s">
        <v>99</v>
      </c>
      <c r="F8" s="124" t="s">
        <v>39</v>
      </c>
      <c r="G8" s="124" t="s">
        <v>106</v>
      </c>
      <c r="H8" s="120" t="s">
        <v>101</v>
      </c>
      <c r="I8" s="119" t="s">
        <v>102</v>
      </c>
      <c r="J8" s="119" t="s">
        <v>102</v>
      </c>
      <c r="K8" s="121" t="s">
        <v>103</v>
      </c>
      <c r="L8" s="120" t="s">
        <v>104</v>
      </c>
      <c r="M8" s="121"/>
      <c r="N8" s="121"/>
      <c r="O8" s="121"/>
      <c r="P8" s="12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47.25" customHeight="1">
      <c r="A9" s="123" t="s">
        <v>41</v>
      </c>
      <c r="B9" s="119" t="s">
        <v>107</v>
      </c>
      <c r="C9" s="120" t="s">
        <v>97</v>
      </c>
      <c r="D9" s="121" t="s">
        <v>98</v>
      </c>
      <c r="E9" s="121" t="s">
        <v>99</v>
      </c>
      <c r="F9" s="124" t="s">
        <v>42</v>
      </c>
      <c r="G9" s="124" t="s">
        <v>108</v>
      </c>
      <c r="H9" s="120" t="s">
        <v>101</v>
      </c>
      <c r="I9" s="119" t="s">
        <v>109</v>
      </c>
      <c r="J9" s="119" t="s">
        <v>109</v>
      </c>
      <c r="K9" s="121" t="s">
        <v>103</v>
      </c>
      <c r="L9" s="120" t="s">
        <v>104</v>
      </c>
      <c r="M9" s="121"/>
      <c r="N9" s="121"/>
      <c r="O9" s="121"/>
      <c r="P9" s="126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51.0" customHeight="1">
      <c r="A10" s="119" t="s">
        <v>43</v>
      </c>
      <c r="B10" s="124" t="s">
        <v>110</v>
      </c>
      <c r="C10" s="120" t="s">
        <v>97</v>
      </c>
      <c r="D10" s="121" t="s">
        <v>98</v>
      </c>
      <c r="E10" s="121" t="s">
        <v>99</v>
      </c>
      <c r="F10" s="124" t="s">
        <v>47</v>
      </c>
      <c r="G10" s="124" t="s">
        <v>48</v>
      </c>
      <c r="H10" s="120" t="s">
        <v>101</v>
      </c>
      <c r="I10" s="119" t="s">
        <v>111</v>
      </c>
      <c r="J10" s="119" t="s">
        <v>112</v>
      </c>
      <c r="K10" s="121" t="s">
        <v>103</v>
      </c>
      <c r="L10" s="121"/>
      <c r="M10" s="121" t="s">
        <v>104</v>
      </c>
      <c r="N10" s="121"/>
      <c r="O10" s="121"/>
      <c r="P10" s="12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57.0" customHeight="1">
      <c r="A11" s="124" t="s">
        <v>49</v>
      </c>
      <c r="B11" s="124" t="s">
        <v>113</v>
      </c>
      <c r="C11" s="120" t="s">
        <v>97</v>
      </c>
      <c r="D11" s="121" t="s">
        <v>98</v>
      </c>
      <c r="E11" s="121" t="s">
        <v>99</v>
      </c>
      <c r="F11" s="124" t="s">
        <v>50</v>
      </c>
      <c r="G11" s="124" t="s">
        <v>51</v>
      </c>
      <c r="H11" s="120" t="s">
        <v>101</v>
      </c>
      <c r="I11" s="119" t="s">
        <v>109</v>
      </c>
      <c r="J11" s="119" t="s">
        <v>109</v>
      </c>
      <c r="K11" s="121" t="s">
        <v>103</v>
      </c>
      <c r="L11" s="120" t="s">
        <v>104</v>
      </c>
      <c r="M11" s="121"/>
      <c r="N11" s="121"/>
      <c r="O11" s="121"/>
      <c r="P11" s="12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51.0" customHeight="1">
      <c r="A12" s="124" t="s">
        <v>52</v>
      </c>
      <c r="B12" s="124" t="s">
        <v>114</v>
      </c>
      <c r="C12" s="120" t="s">
        <v>97</v>
      </c>
      <c r="D12" s="121" t="s">
        <v>98</v>
      </c>
      <c r="E12" s="121" t="s">
        <v>99</v>
      </c>
      <c r="F12" s="124" t="s">
        <v>53</v>
      </c>
      <c r="G12" s="124" t="s">
        <v>51</v>
      </c>
      <c r="H12" s="120" t="s">
        <v>101</v>
      </c>
      <c r="I12" s="119" t="s">
        <v>109</v>
      </c>
      <c r="J12" s="119" t="s">
        <v>109</v>
      </c>
      <c r="K12" s="121" t="s">
        <v>103</v>
      </c>
      <c r="L12" s="120" t="s">
        <v>104</v>
      </c>
      <c r="M12" s="121"/>
      <c r="N12" s="121"/>
      <c r="O12" s="121"/>
      <c r="P12" s="12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51.0" customHeight="1">
      <c r="A13" s="124" t="s">
        <v>54</v>
      </c>
      <c r="B13" s="119" t="s">
        <v>115</v>
      </c>
      <c r="C13" s="120" t="s">
        <v>97</v>
      </c>
      <c r="D13" s="121" t="s">
        <v>98</v>
      </c>
      <c r="E13" s="121" t="s">
        <v>99</v>
      </c>
      <c r="F13" s="124" t="s">
        <v>55</v>
      </c>
      <c r="G13" s="124" t="s">
        <v>56</v>
      </c>
      <c r="H13" s="120" t="s">
        <v>101</v>
      </c>
      <c r="I13" s="119" t="s">
        <v>109</v>
      </c>
      <c r="J13" s="119" t="s">
        <v>109</v>
      </c>
      <c r="K13" s="121" t="s">
        <v>103</v>
      </c>
      <c r="L13" s="120" t="s">
        <v>104</v>
      </c>
      <c r="M13" s="121"/>
      <c r="N13" s="121"/>
      <c r="O13" s="121"/>
      <c r="P13" s="12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4">
    <mergeCell ref="E5:E6"/>
    <mergeCell ref="F5:G5"/>
    <mergeCell ref="H5:H6"/>
    <mergeCell ref="I5:J5"/>
    <mergeCell ref="K5:K6"/>
    <mergeCell ref="L5:O5"/>
    <mergeCell ref="A1:B3"/>
    <mergeCell ref="C1:M3"/>
    <mergeCell ref="N1:P3"/>
    <mergeCell ref="A5:A6"/>
    <mergeCell ref="B5:B6"/>
    <mergeCell ref="C5:C6"/>
    <mergeCell ref="D5:D6"/>
    <mergeCell ref="P5:P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19.13"/>
    <col customWidth="1" min="3" max="3" width="15.38"/>
    <col customWidth="1" min="4" max="4" width="10.25"/>
    <col customWidth="1" min="5" max="5" width="14.0"/>
    <col customWidth="1" min="6" max="6" width="12.5"/>
    <col customWidth="1" min="7" max="7" width="14.75"/>
    <col customWidth="1" min="8" max="8" width="18.75"/>
    <col customWidth="1" min="9" max="9" width="16.13"/>
    <col customWidth="1" min="10" max="10" width="15.13"/>
    <col customWidth="1" min="11" max="11" width="14.75"/>
    <col customWidth="1" min="12" max="12" width="13.88"/>
    <col customWidth="1" min="13" max="13" width="9.38"/>
    <col customWidth="1" min="14" max="14" width="12.75"/>
    <col customWidth="1" min="15" max="15" width="14.13"/>
    <col customWidth="1" min="16" max="16" width="14.63"/>
    <col customWidth="1" min="17" max="26" width="9.38"/>
  </cols>
  <sheetData>
    <row r="1" ht="73.5" customHeight="1">
      <c r="B1" s="103"/>
      <c r="C1" s="127" t="s">
        <v>116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  <c r="O1" s="59" t="s">
        <v>34</v>
      </c>
      <c r="P1" s="55"/>
    </row>
    <row r="3">
      <c r="A3" s="46"/>
      <c r="B3" s="13" t="s">
        <v>58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63</v>
      </c>
      <c r="H3" s="13" t="s">
        <v>64</v>
      </c>
      <c r="I3" s="13" t="s">
        <v>65</v>
      </c>
      <c r="J3" s="13" t="s">
        <v>66</v>
      </c>
      <c r="K3" s="13" t="s">
        <v>67</v>
      </c>
      <c r="L3" s="13" t="s">
        <v>68</v>
      </c>
      <c r="M3" s="13" t="s">
        <v>69</v>
      </c>
      <c r="N3" s="13" t="s">
        <v>70</v>
      </c>
      <c r="O3" s="13" t="s">
        <v>71</v>
      </c>
      <c r="P3" s="13" t="s">
        <v>72</v>
      </c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24.75" customHeight="1">
      <c r="A4" s="96"/>
      <c r="B4" s="97"/>
      <c r="C4" s="97" t="s">
        <v>73</v>
      </c>
      <c r="D4" s="97" t="s">
        <v>74</v>
      </c>
      <c r="E4" s="98">
        <f>+'CONSOLIDADO PGIRHS '!P9</f>
        <v>0</v>
      </c>
      <c r="F4" s="98">
        <f>+'CONSOLIDADO PGIRHS '!P10</f>
        <v>0</v>
      </c>
      <c r="G4" s="98">
        <f>+SUM(E4:F4)</f>
        <v>0</v>
      </c>
      <c r="H4" s="98">
        <f>+'CONSOLIDADO PGIRHS '!P5</f>
        <v>0</v>
      </c>
      <c r="I4" s="128">
        <f>+'CONSOLIDADO PGIRHS '!P6</f>
        <v>0</v>
      </c>
      <c r="J4" s="97" t="str">
        <f>+'CONSOLIDADO PGIRHS '!#REF!</f>
        <v>#ERROR!</v>
      </c>
      <c r="K4" s="97"/>
      <c r="L4" s="97" t="s">
        <v>75</v>
      </c>
      <c r="M4" s="128"/>
      <c r="N4" s="128"/>
      <c r="O4" s="128"/>
      <c r="P4" s="97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ht="20.25" customHeight="1">
      <c r="B5" s="97" t="s">
        <v>76</v>
      </c>
      <c r="C5" s="103"/>
      <c r="D5" s="103"/>
      <c r="E5" s="103"/>
      <c r="F5" s="103"/>
      <c r="G5" s="103"/>
      <c r="H5" s="97" t="s">
        <v>20</v>
      </c>
      <c r="I5" s="103"/>
      <c r="J5" s="97" t="s">
        <v>77</v>
      </c>
      <c r="K5" s="103"/>
      <c r="L5" s="103"/>
      <c r="M5" s="103"/>
      <c r="N5" s="103"/>
      <c r="O5" s="103"/>
      <c r="P5" s="1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N1"/>
    <mergeCell ref="O1:P1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2015-10-26T20:50:13Z</dcterms:created>
  <dc:creator>Daniela Sepulveda Erazo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0x010100D7DEFC6FCDE8E94DACBA1339DCA303BD</vt:lpwstr>
  </property>
</Properties>
</file>