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MATRIZ INDICADORES (2)" sheetId="1" r:id="rId4"/>
  </sheets>
  <definedNames/>
  <calcPr/>
  <extLst>
    <ext uri="GoogleSheetsCustomDataVersion2">
      <go:sheetsCustomData xmlns:go="http://customooxmlschemas.google.com/" r:id="rId5" roundtripDataChecksum="S4RdMnUMyEmiEThx0PDCOX/Riyf1ZhTGgvfcLRKy3pU="/>
    </ext>
  </extLst>
</workbook>
</file>

<file path=xl/sharedStrings.xml><?xml version="1.0" encoding="utf-8"?>
<sst xmlns="http://schemas.openxmlformats.org/spreadsheetml/2006/main" count="126" uniqueCount="56">
  <si>
    <t>MATRIZ INDICADORES OPORTUNIDAD, GESTIÓN DEL RIESGO Y SEGURIDAD AL PACIENTE</t>
  </si>
  <si>
    <t>ITEM</t>
  </si>
  <si>
    <t>ATRIBUTO</t>
  </si>
  <si>
    <t>NOMBRE</t>
  </si>
  <si>
    <t>FÓRMULA</t>
  </si>
  <si>
    <t>FRECUENCIA DE MEDICIÓN</t>
  </si>
  <si>
    <t>META DEL PERIODO</t>
  </si>
  <si>
    <t xml:space="preserve">FUENTE </t>
  </si>
  <si>
    <t>DETALLE</t>
  </si>
  <si>
    <t>Gestión del riesgo - Seguridad del paciente</t>
  </si>
  <si>
    <t>Oportunidad</t>
  </si>
  <si>
    <t># de citas asignadas dentro del tiempo esperado (5 dias promedio)</t>
  </si>
  <si>
    <t>Mensual</t>
  </si>
  <si>
    <t xml:space="preserve"> Reporte de software de agendas</t>
  </si>
  <si>
    <t>NUMERADOR</t>
  </si>
  <si>
    <t># total de pacientes atendidos</t>
  </si>
  <si>
    <t>DENOMINADOR</t>
  </si>
  <si>
    <t>Número  total</t>
  </si>
  <si>
    <t>Gestión del riesgo</t>
  </si>
  <si>
    <t>Diligenciamiento de historia clínica</t>
  </si>
  <si>
    <t># historias clínicas diligenciadas</t>
  </si>
  <si>
    <t>Seguridad del paciente</t>
  </si>
  <si>
    <t>Seguimiento a PQRSF</t>
  </si>
  <si>
    <t># PQRSF contestadas</t>
  </si>
  <si>
    <t>Reporte de SIAU</t>
  </si>
  <si>
    <t># PQRSF recibidas</t>
  </si>
  <si>
    <t>Proporción de vigilancia de 
Eventos adversos</t>
  </si>
  <si>
    <t>Número total de eventos adversos Gestiónados</t>
  </si>
  <si>
    <t>100% o Sin eventos</t>
  </si>
  <si>
    <t xml:space="preserve">Registro de eventos adversos </t>
  </si>
  <si>
    <t>-</t>
  </si>
  <si>
    <t>Número total de eventos adversos presentados</t>
  </si>
  <si>
    <t xml:space="preserve">Tasa de caida de pacientes en el servicio de consulta
externa </t>
  </si>
  <si>
    <t>Numero total de eventos adversos gestionados por caidas</t>
  </si>
  <si>
    <t>Reporte de eventos adversos</t>
  </si>
  <si>
    <t>Numero total de eventos adversos presentados por caidas</t>
  </si>
  <si>
    <t>Adherencia a los cinco momentos de higiene de manos</t>
  </si>
  <si>
    <t># auditorías con cumplimiento del 100%</t>
  </si>
  <si>
    <t>Rondas higiene de manos</t>
  </si>
  <si>
    <t>No se hizo</t>
  </si>
  <si>
    <t># auditorías realizadas</t>
  </si>
  <si>
    <t>Cobertura del plan de capacitación institucional</t>
  </si>
  <si>
    <t># capacitaciones realizadas</t>
  </si>
  <si>
    <t>Resultados capacitaciones</t>
  </si>
  <si>
    <t># capacitaciones programadas</t>
  </si>
  <si>
    <t>Seguridad</t>
  </si>
  <si>
    <t>Proporción de pacientes que no fueron identificados correctamente</t>
  </si>
  <si>
    <t>Numero total de eventos adversos gestionados por no identificacion correcta del paciente</t>
  </si>
  <si>
    <t>reporte de eventos adversos</t>
  </si>
  <si>
    <t>Numero total de eventos adversos presentados por no identificacion correcta del paciente</t>
  </si>
  <si>
    <t>Proporcion de Referencia y Contrareferencia</t>
  </si>
  <si>
    <t>Numero total de eventos generales que requeririan referencia</t>
  </si>
  <si>
    <t>Numero total de eventos presentados que requeririan referencia</t>
  </si>
  <si>
    <t>Incidentes o eventos adversos con dispositivos médicos</t>
  </si>
  <si>
    <t>Numero total de eventos adversos gestionados por uso de dispositivos medicos</t>
  </si>
  <si>
    <t>Numero total de eventos adversos presentados por uso de dispositivos medicos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</si>
</sst>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Arial"/>
    </font>
    <font/>
    <font>
      <b/>
      <sz val="16.0"/>
      <color rgb="FF000000"/>
      <name val="Arial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vertical="center"/>
    </xf>
    <xf borderId="3" fillId="0" fontId="2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9" fillId="3" fontId="1" numFmtId="17" xfId="0" applyAlignment="1" applyBorder="1" applyFont="1" applyNumberForma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0" fillId="0" fontId="5" numFmtId="9" xfId="0" applyAlignment="1" applyBorder="1" applyFont="1" applyNumberFormat="1">
      <alignment horizontal="center" shrinkToFit="0" vertical="center" wrapText="1"/>
    </xf>
    <xf borderId="9" fillId="0" fontId="1" numFmtId="9" xfId="0" applyAlignment="1" applyBorder="1" applyFont="1" applyNumberFormat="1">
      <alignment horizontal="center" shrinkToFit="0" vertical="center" wrapText="1"/>
    </xf>
    <xf borderId="9" fillId="4" fontId="5" numFmtId="0" xfId="0" applyAlignment="1" applyBorder="1" applyFill="1" applyFont="1">
      <alignment horizontal="center" vertical="center"/>
    </xf>
    <xf borderId="9" fillId="4" fontId="5" numFmtId="0" xfId="0" applyAlignment="1" applyBorder="1" applyFont="1">
      <alignment horizontal="center" readingOrder="0" vertical="center"/>
    </xf>
    <xf borderId="11" fillId="0" fontId="2" numFmtId="0" xfId="0" applyBorder="1" applyFont="1"/>
    <xf borderId="9" fillId="4" fontId="5" numFmtId="3" xfId="0" applyAlignment="1" applyBorder="1" applyFont="1" applyNumberFormat="1">
      <alignment horizontal="center" readingOrder="0" vertical="center"/>
    </xf>
    <xf borderId="9" fillId="4" fontId="5" numFmtId="3" xfId="0" applyAlignment="1" applyBorder="1" applyFont="1" applyNumberFormat="1">
      <alignment horizontal="center" vertical="center"/>
    </xf>
    <xf borderId="12" fillId="0" fontId="2" numFmtId="0" xfId="0" applyBorder="1" applyFont="1"/>
    <xf borderId="9" fillId="5" fontId="4" numFmtId="9" xfId="0" applyAlignment="1" applyBorder="1" applyFill="1" applyFont="1" applyNumberFormat="1">
      <alignment horizontal="center" shrinkToFit="0" vertical="center" wrapText="1"/>
    </xf>
    <xf borderId="9" fillId="0" fontId="4" numFmtId="9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readingOrder="0" vertical="center"/>
    </xf>
    <xf borderId="9" fillId="0" fontId="4" numFmtId="2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0</xdr:row>
      <xdr:rowOff>38100</xdr:rowOff>
    </xdr:from>
    <xdr:ext cx="1438275" cy="533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14"/>
    <col customWidth="1" min="2" max="2" width="20.29"/>
    <col customWidth="1" min="3" max="3" width="17.14"/>
    <col customWidth="1" min="4" max="4" width="45.43"/>
    <col customWidth="1" min="5" max="5" width="15.14"/>
    <col customWidth="1" min="6" max="6" width="13.71"/>
    <col customWidth="1" min="7" max="7" width="20.0"/>
    <col customWidth="1" min="8" max="8" width="22.14"/>
    <col customWidth="1" min="9" max="20" width="14.29"/>
  </cols>
  <sheetData>
    <row r="1" ht="16.5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4"/>
      <c r="Q1" s="5"/>
      <c r="R1" s="2"/>
      <c r="S1" s="2"/>
      <c r="T1" s="4"/>
    </row>
    <row r="2" ht="16.5" customHeight="1">
      <c r="A2" s="6"/>
      <c r="D2" s="6"/>
      <c r="P2" s="7"/>
      <c r="Q2" s="6"/>
      <c r="T2" s="7"/>
    </row>
    <row r="3" ht="16.5" customHeight="1">
      <c r="A3" s="6"/>
      <c r="D3" s="6"/>
      <c r="P3" s="7"/>
      <c r="Q3" s="6"/>
      <c r="T3" s="7"/>
    </row>
    <row r="4" ht="18.75" customHeight="1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</row>
    <row r="5">
      <c r="A5" s="11" t="s">
        <v>1</v>
      </c>
      <c r="B5" s="12" t="s">
        <v>2</v>
      </c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2" t="s">
        <v>8</v>
      </c>
      <c r="I5" s="13">
        <v>45658.0</v>
      </c>
      <c r="J5" s="13">
        <v>45689.0</v>
      </c>
      <c r="K5" s="13">
        <v>45717.0</v>
      </c>
      <c r="L5" s="13">
        <v>45748.0</v>
      </c>
      <c r="M5" s="13">
        <v>45778.0</v>
      </c>
      <c r="N5" s="13">
        <v>45809.0</v>
      </c>
      <c r="O5" s="13">
        <v>45839.0</v>
      </c>
      <c r="P5" s="13">
        <v>45870.0</v>
      </c>
      <c r="Q5" s="13">
        <v>45901.0</v>
      </c>
      <c r="R5" s="13">
        <v>45931.0</v>
      </c>
      <c r="S5" s="13">
        <v>45962.0</v>
      </c>
      <c r="T5" s="13">
        <v>45992.0</v>
      </c>
    </row>
    <row r="6">
      <c r="A6" s="14">
        <v>1.0</v>
      </c>
      <c r="B6" s="15" t="s">
        <v>9</v>
      </c>
      <c r="C6" s="16" t="s">
        <v>10</v>
      </c>
      <c r="D6" s="17" t="s">
        <v>11</v>
      </c>
      <c r="E6" s="16" t="s">
        <v>12</v>
      </c>
      <c r="F6" s="18">
        <v>0.9</v>
      </c>
      <c r="G6" s="18" t="s">
        <v>13</v>
      </c>
      <c r="H6" s="19" t="s">
        <v>14</v>
      </c>
      <c r="I6" s="20">
        <f>175-5</f>
        <v>170</v>
      </c>
      <c r="J6" s="21">
        <v>187.0</v>
      </c>
      <c r="K6" s="21">
        <v>149.0</v>
      </c>
      <c r="L6" s="21">
        <v>167.0</v>
      </c>
      <c r="M6" s="21">
        <v>176.0</v>
      </c>
      <c r="N6" s="21">
        <v>0.0</v>
      </c>
      <c r="O6" s="21">
        <v>8.0</v>
      </c>
      <c r="P6" s="21">
        <v>11.0</v>
      </c>
      <c r="Q6" s="21">
        <v>11.0</v>
      </c>
      <c r="R6" s="21">
        <v>71.0</v>
      </c>
      <c r="S6" s="20"/>
      <c r="T6" s="20"/>
    </row>
    <row r="7" ht="26.25" customHeight="1">
      <c r="A7" s="22"/>
      <c r="B7" s="22"/>
      <c r="C7" s="22"/>
      <c r="D7" s="16" t="s">
        <v>15</v>
      </c>
      <c r="E7" s="22"/>
      <c r="F7" s="22"/>
      <c r="G7" s="22"/>
      <c r="H7" s="19" t="s">
        <v>16</v>
      </c>
      <c r="I7" s="21">
        <v>175.0</v>
      </c>
      <c r="J7" s="23">
        <v>195.0</v>
      </c>
      <c r="K7" s="21">
        <v>153.0</v>
      </c>
      <c r="L7" s="23">
        <v>170.0</v>
      </c>
      <c r="M7" s="23">
        <v>178.0</v>
      </c>
      <c r="N7" s="23">
        <v>0.0</v>
      </c>
      <c r="O7" s="21">
        <v>8.0</v>
      </c>
      <c r="P7" s="23">
        <v>11.0</v>
      </c>
      <c r="Q7" s="23">
        <v>11.0</v>
      </c>
      <c r="R7" s="23">
        <v>71.0</v>
      </c>
      <c r="S7" s="24"/>
      <c r="T7" s="24"/>
    </row>
    <row r="8" ht="26.25" customHeight="1">
      <c r="A8" s="25"/>
      <c r="B8" s="25"/>
      <c r="C8" s="25"/>
      <c r="D8" s="25"/>
      <c r="E8" s="25"/>
      <c r="F8" s="25"/>
      <c r="G8" s="25"/>
      <c r="H8" s="19" t="s">
        <v>17</v>
      </c>
      <c r="I8" s="26">
        <f t="shared" ref="I8:T8" si="1">(I6/I7)</f>
        <v>0.9714285714</v>
      </c>
      <c r="J8" s="26">
        <f t="shared" si="1"/>
        <v>0.958974359</v>
      </c>
      <c r="K8" s="27">
        <f t="shared" si="1"/>
        <v>0.9738562092</v>
      </c>
      <c r="L8" s="27">
        <f t="shared" si="1"/>
        <v>0.9823529412</v>
      </c>
      <c r="M8" s="27">
        <f t="shared" si="1"/>
        <v>0.9887640449</v>
      </c>
      <c r="N8" s="27" t="str">
        <f t="shared" si="1"/>
        <v>#DIV/0!</v>
      </c>
      <c r="O8" s="27">
        <f t="shared" si="1"/>
        <v>1</v>
      </c>
      <c r="P8" s="27">
        <f t="shared" si="1"/>
        <v>1</v>
      </c>
      <c r="Q8" s="26">
        <f t="shared" si="1"/>
        <v>1</v>
      </c>
      <c r="R8" s="26">
        <f t="shared" si="1"/>
        <v>1</v>
      </c>
      <c r="S8" s="26" t="str">
        <f t="shared" si="1"/>
        <v>#DIV/0!</v>
      </c>
      <c r="T8" s="26" t="str">
        <f t="shared" si="1"/>
        <v>#DIV/0!</v>
      </c>
    </row>
    <row r="9" ht="26.25" customHeight="1">
      <c r="A9" s="14">
        <v>2.0</v>
      </c>
      <c r="B9" s="15" t="s">
        <v>18</v>
      </c>
      <c r="C9" s="16" t="s">
        <v>19</v>
      </c>
      <c r="D9" s="28" t="s">
        <v>20</v>
      </c>
      <c r="E9" s="16" t="s">
        <v>12</v>
      </c>
      <c r="F9" s="18">
        <v>1.0</v>
      </c>
      <c r="G9" s="18" t="s">
        <v>13</v>
      </c>
      <c r="H9" s="19" t="s">
        <v>14</v>
      </c>
      <c r="I9" s="21">
        <v>175.0</v>
      </c>
      <c r="J9" s="23">
        <v>195.0</v>
      </c>
      <c r="K9" s="21">
        <v>153.0</v>
      </c>
      <c r="L9" s="23">
        <v>170.0</v>
      </c>
      <c r="M9" s="23">
        <v>178.0</v>
      </c>
      <c r="N9" s="21">
        <v>0.0</v>
      </c>
      <c r="O9" s="21">
        <v>8.0</v>
      </c>
      <c r="P9" s="21">
        <v>11.0</v>
      </c>
      <c r="Q9" s="21">
        <v>11.0</v>
      </c>
      <c r="R9" s="21">
        <v>71.0</v>
      </c>
      <c r="S9" s="20"/>
      <c r="T9" s="20"/>
    </row>
    <row r="10" ht="26.25" customHeight="1">
      <c r="A10" s="22"/>
      <c r="B10" s="22"/>
      <c r="C10" s="22"/>
      <c r="D10" s="16" t="s">
        <v>15</v>
      </c>
      <c r="E10" s="22"/>
      <c r="F10" s="22"/>
      <c r="G10" s="22"/>
      <c r="H10" s="19" t="s">
        <v>16</v>
      </c>
      <c r="I10" s="21">
        <v>175.0</v>
      </c>
      <c r="J10" s="23">
        <v>195.0</v>
      </c>
      <c r="K10" s="21">
        <v>153.0</v>
      </c>
      <c r="L10" s="23">
        <v>170.0</v>
      </c>
      <c r="M10" s="23">
        <v>178.0</v>
      </c>
      <c r="N10" s="23">
        <v>0.0</v>
      </c>
      <c r="O10" s="21">
        <v>8.0</v>
      </c>
      <c r="P10" s="23">
        <v>11.0</v>
      </c>
      <c r="Q10" s="23">
        <v>11.0</v>
      </c>
      <c r="R10" s="23">
        <v>71.0</v>
      </c>
      <c r="S10" s="24"/>
      <c r="T10" s="24"/>
    </row>
    <row r="11" ht="26.25" customHeight="1">
      <c r="A11" s="25"/>
      <c r="B11" s="25"/>
      <c r="C11" s="25"/>
      <c r="D11" s="25"/>
      <c r="E11" s="25"/>
      <c r="F11" s="25"/>
      <c r="G11" s="25"/>
      <c r="H11" s="19" t="s">
        <v>17</v>
      </c>
      <c r="I11" s="26">
        <f t="shared" ref="I11:T11" si="2">(I9/I10)</f>
        <v>1</v>
      </c>
      <c r="J11" s="26">
        <f t="shared" si="2"/>
        <v>1</v>
      </c>
      <c r="K11" s="27">
        <f t="shared" si="2"/>
        <v>1</v>
      </c>
      <c r="L11" s="27">
        <f t="shared" si="2"/>
        <v>1</v>
      </c>
      <c r="M11" s="27">
        <f t="shared" si="2"/>
        <v>1</v>
      </c>
      <c r="N11" s="27" t="str">
        <f t="shared" si="2"/>
        <v>#DIV/0!</v>
      </c>
      <c r="O11" s="27">
        <f t="shared" si="2"/>
        <v>1</v>
      </c>
      <c r="P11" s="27">
        <f t="shared" si="2"/>
        <v>1</v>
      </c>
      <c r="Q11" s="26">
        <f t="shared" si="2"/>
        <v>1</v>
      </c>
      <c r="R11" s="26">
        <f t="shared" si="2"/>
        <v>1</v>
      </c>
      <c r="S11" s="26" t="str">
        <f t="shared" si="2"/>
        <v>#DIV/0!</v>
      </c>
      <c r="T11" s="26" t="str">
        <f t="shared" si="2"/>
        <v>#DIV/0!</v>
      </c>
    </row>
    <row r="12" ht="25.5" customHeight="1">
      <c r="A12" s="29">
        <v>3.0</v>
      </c>
      <c r="B12" s="15" t="s">
        <v>21</v>
      </c>
      <c r="C12" s="16" t="s">
        <v>22</v>
      </c>
      <c r="D12" s="28" t="s">
        <v>23</v>
      </c>
      <c r="E12" s="16" t="s">
        <v>12</v>
      </c>
      <c r="F12" s="18">
        <v>1.0</v>
      </c>
      <c r="G12" s="18" t="s">
        <v>24</v>
      </c>
      <c r="H12" s="19" t="s">
        <v>14</v>
      </c>
      <c r="I12" s="20">
        <v>0.0</v>
      </c>
      <c r="J12" s="20">
        <v>0.0</v>
      </c>
      <c r="K12" s="20">
        <v>0.0</v>
      </c>
      <c r="L12" s="20">
        <v>0.0</v>
      </c>
      <c r="M12" s="20">
        <v>0.0</v>
      </c>
      <c r="N12" s="20">
        <v>0.0</v>
      </c>
      <c r="O12" s="20">
        <v>0.0</v>
      </c>
      <c r="P12" s="20">
        <v>0.0</v>
      </c>
      <c r="Q12" s="20">
        <v>0.0</v>
      </c>
      <c r="R12" s="20">
        <v>0.0</v>
      </c>
      <c r="S12" s="20"/>
      <c r="T12" s="20"/>
    </row>
    <row r="13">
      <c r="A13" s="22"/>
      <c r="B13" s="22"/>
      <c r="C13" s="22"/>
      <c r="D13" s="16" t="s">
        <v>25</v>
      </c>
      <c r="E13" s="22"/>
      <c r="F13" s="22"/>
      <c r="G13" s="22"/>
      <c r="H13" s="19" t="s">
        <v>16</v>
      </c>
      <c r="I13" s="24">
        <v>0.0</v>
      </c>
      <c r="J13" s="24">
        <v>0.0</v>
      </c>
      <c r="K13" s="24">
        <v>0.0</v>
      </c>
      <c r="L13" s="24">
        <v>0.0</v>
      </c>
      <c r="M13" s="24">
        <v>0.0</v>
      </c>
      <c r="N13" s="24">
        <v>0.0</v>
      </c>
      <c r="O13" s="24">
        <v>0.0</v>
      </c>
      <c r="P13" s="24">
        <v>0.0</v>
      </c>
      <c r="Q13" s="24">
        <v>0.0</v>
      </c>
      <c r="R13" s="24">
        <v>0.0</v>
      </c>
      <c r="S13" s="24"/>
      <c r="T13" s="24"/>
    </row>
    <row r="14" ht="26.25" customHeight="1">
      <c r="A14" s="25"/>
      <c r="B14" s="25"/>
      <c r="C14" s="25"/>
      <c r="D14" s="25"/>
      <c r="E14" s="25"/>
      <c r="F14" s="25"/>
      <c r="G14" s="25"/>
      <c r="H14" s="19" t="s">
        <v>17</v>
      </c>
      <c r="I14" s="26" t="str">
        <f t="shared" ref="I14:R14" si="3">IF(I13=0, "Sin PQRS", I12/I13)</f>
        <v>Sin PQRS</v>
      </c>
      <c r="J14" s="26" t="str">
        <f t="shared" si="3"/>
        <v>Sin PQRS</v>
      </c>
      <c r="K14" s="26" t="str">
        <f t="shared" si="3"/>
        <v>Sin PQRS</v>
      </c>
      <c r="L14" s="26" t="str">
        <f t="shared" si="3"/>
        <v>Sin PQRS</v>
      </c>
      <c r="M14" s="26" t="str">
        <f t="shared" si="3"/>
        <v>Sin PQRS</v>
      </c>
      <c r="N14" s="26" t="str">
        <f t="shared" si="3"/>
        <v>Sin PQRS</v>
      </c>
      <c r="O14" s="26" t="str">
        <f t="shared" si="3"/>
        <v>Sin PQRS</v>
      </c>
      <c r="P14" s="26" t="str">
        <f t="shared" si="3"/>
        <v>Sin PQRS</v>
      </c>
      <c r="Q14" s="26" t="str">
        <f t="shared" si="3"/>
        <v>Sin PQRS</v>
      </c>
      <c r="R14" s="26" t="str">
        <f t="shared" si="3"/>
        <v>Sin PQRS</v>
      </c>
      <c r="S14" s="30" t="str">
        <f t="shared" ref="S14:T14" si="4">(S12/S13)</f>
        <v>#DIV/0!</v>
      </c>
      <c r="T14" s="30" t="str">
        <f t="shared" si="4"/>
        <v>#DIV/0!</v>
      </c>
    </row>
    <row r="15" ht="26.25" customHeight="1">
      <c r="A15" s="29">
        <v>4.0</v>
      </c>
      <c r="B15" s="15" t="s">
        <v>9</v>
      </c>
      <c r="C15" s="16" t="s">
        <v>26</v>
      </c>
      <c r="D15" s="16" t="s">
        <v>27</v>
      </c>
      <c r="E15" s="16" t="s">
        <v>12</v>
      </c>
      <c r="F15" s="18" t="s">
        <v>28</v>
      </c>
      <c r="G15" s="18" t="s">
        <v>29</v>
      </c>
      <c r="H15" s="19" t="s">
        <v>14</v>
      </c>
      <c r="I15" s="20">
        <v>0.0</v>
      </c>
      <c r="J15" s="20">
        <v>0.0</v>
      </c>
      <c r="K15" s="20">
        <v>0.0</v>
      </c>
      <c r="L15" s="20">
        <v>0.0</v>
      </c>
      <c r="M15" s="20">
        <v>0.0</v>
      </c>
      <c r="N15" s="20">
        <v>0.0</v>
      </c>
      <c r="O15" s="20">
        <v>0.0</v>
      </c>
      <c r="P15" s="20">
        <v>0.0</v>
      </c>
      <c r="Q15" s="20">
        <v>0.0</v>
      </c>
      <c r="R15" s="20">
        <v>0.0</v>
      </c>
      <c r="S15" s="20" t="s">
        <v>30</v>
      </c>
      <c r="T15" s="20" t="s">
        <v>30</v>
      </c>
    </row>
    <row r="16" ht="26.25" customHeight="1">
      <c r="A16" s="22"/>
      <c r="B16" s="22"/>
      <c r="C16" s="22"/>
      <c r="D16" s="25"/>
      <c r="E16" s="22"/>
      <c r="F16" s="22"/>
      <c r="G16" s="22"/>
      <c r="H16" s="19" t="s">
        <v>16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>
        <v>0.0</v>
      </c>
      <c r="O16" s="24">
        <v>0.0</v>
      </c>
      <c r="P16" s="24">
        <v>0.0</v>
      </c>
      <c r="Q16" s="24">
        <v>0.0</v>
      </c>
      <c r="R16" s="24">
        <v>0.0</v>
      </c>
      <c r="S16" s="24" t="s">
        <v>30</v>
      </c>
      <c r="T16" s="24" t="s">
        <v>30</v>
      </c>
    </row>
    <row r="17" ht="26.25" customHeight="1">
      <c r="A17" s="25"/>
      <c r="B17" s="25"/>
      <c r="C17" s="25"/>
      <c r="D17" s="31" t="s">
        <v>31</v>
      </c>
      <c r="E17" s="25"/>
      <c r="F17" s="25"/>
      <c r="G17" s="25"/>
      <c r="H17" s="19" t="s">
        <v>17</v>
      </c>
      <c r="I17" s="26" t="str">
        <f t="shared" ref="I17:T17" si="5">IF(I16=0, "Sin eventos", I15/I16)</f>
        <v>Sin eventos</v>
      </c>
      <c r="J17" s="26" t="str">
        <f t="shared" si="5"/>
        <v>Sin eventos</v>
      </c>
      <c r="K17" s="26" t="str">
        <f t="shared" si="5"/>
        <v>Sin eventos</v>
      </c>
      <c r="L17" s="26" t="str">
        <f t="shared" si="5"/>
        <v>Sin eventos</v>
      </c>
      <c r="M17" s="26" t="str">
        <f t="shared" si="5"/>
        <v>Sin eventos</v>
      </c>
      <c r="N17" s="26" t="str">
        <f t="shared" si="5"/>
        <v>Sin eventos</v>
      </c>
      <c r="O17" s="26" t="str">
        <f t="shared" si="5"/>
        <v>Sin eventos</v>
      </c>
      <c r="P17" s="26" t="str">
        <f t="shared" si="5"/>
        <v>Sin eventos</v>
      </c>
      <c r="Q17" s="26" t="str">
        <f t="shared" si="5"/>
        <v>Sin eventos</v>
      </c>
      <c r="R17" s="26" t="str">
        <f t="shared" si="5"/>
        <v>Sin eventos</v>
      </c>
      <c r="S17" s="26" t="str">
        <f t="shared" si="5"/>
        <v>#VALUE!</v>
      </c>
      <c r="T17" s="26" t="str">
        <f t="shared" si="5"/>
        <v>#VALUE!</v>
      </c>
    </row>
    <row r="18" ht="36.75" customHeight="1">
      <c r="A18" s="29">
        <v>5.0</v>
      </c>
      <c r="B18" s="15" t="s">
        <v>21</v>
      </c>
      <c r="C18" s="16" t="s">
        <v>32</v>
      </c>
      <c r="D18" s="28" t="s">
        <v>33</v>
      </c>
      <c r="E18" s="16" t="s">
        <v>12</v>
      </c>
      <c r="F18" s="18" t="s">
        <v>28</v>
      </c>
      <c r="G18" s="18" t="s">
        <v>34</v>
      </c>
      <c r="H18" s="19" t="s">
        <v>14</v>
      </c>
      <c r="I18" s="20">
        <v>0.0</v>
      </c>
      <c r="J18" s="20">
        <v>0.0</v>
      </c>
      <c r="K18" s="20">
        <v>0.0</v>
      </c>
      <c r="L18" s="20">
        <v>0.0</v>
      </c>
      <c r="M18" s="20">
        <v>0.0</v>
      </c>
      <c r="N18" s="20">
        <v>0.0</v>
      </c>
      <c r="O18" s="20">
        <v>0.0</v>
      </c>
      <c r="P18" s="20">
        <v>0.0</v>
      </c>
      <c r="Q18" s="20">
        <v>0.0</v>
      </c>
      <c r="R18" s="20">
        <v>0.0</v>
      </c>
      <c r="S18" s="20"/>
      <c r="T18" s="20"/>
    </row>
    <row r="19" ht="15.75" customHeight="1">
      <c r="A19" s="22"/>
      <c r="B19" s="22"/>
      <c r="C19" s="22"/>
      <c r="D19" s="16" t="s">
        <v>35</v>
      </c>
      <c r="E19" s="22"/>
      <c r="F19" s="22"/>
      <c r="G19" s="22"/>
      <c r="H19" s="19" t="s">
        <v>16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4">
        <v>0.0</v>
      </c>
      <c r="O19" s="24">
        <v>0.0</v>
      </c>
      <c r="P19" s="24">
        <v>0.0</v>
      </c>
      <c r="Q19" s="24">
        <v>0.0</v>
      </c>
      <c r="R19" s="24">
        <v>0.0</v>
      </c>
      <c r="S19" s="24"/>
      <c r="T19" s="24"/>
    </row>
    <row r="20" ht="26.25" customHeight="1">
      <c r="A20" s="25"/>
      <c r="B20" s="25"/>
      <c r="C20" s="25"/>
      <c r="D20" s="25"/>
      <c r="E20" s="25"/>
      <c r="F20" s="25"/>
      <c r="G20" s="25"/>
      <c r="H20" s="19" t="s">
        <v>17</v>
      </c>
      <c r="I20" s="26" t="str">
        <f t="shared" ref="I20:R20" si="6">IF(I19=0, "Sin eventos", I18/I19)</f>
        <v>Sin eventos</v>
      </c>
      <c r="J20" s="26" t="str">
        <f t="shared" si="6"/>
        <v>Sin eventos</v>
      </c>
      <c r="K20" s="26" t="str">
        <f t="shared" si="6"/>
        <v>Sin eventos</v>
      </c>
      <c r="L20" s="26" t="str">
        <f t="shared" si="6"/>
        <v>Sin eventos</v>
      </c>
      <c r="M20" s="26" t="str">
        <f t="shared" si="6"/>
        <v>Sin eventos</v>
      </c>
      <c r="N20" s="26" t="str">
        <f t="shared" si="6"/>
        <v>Sin eventos</v>
      </c>
      <c r="O20" s="26" t="str">
        <f t="shared" si="6"/>
        <v>Sin eventos</v>
      </c>
      <c r="P20" s="26" t="str">
        <f t="shared" si="6"/>
        <v>Sin eventos</v>
      </c>
      <c r="Q20" s="26" t="str">
        <f t="shared" si="6"/>
        <v>Sin eventos</v>
      </c>
      <c r="R20" s="26" t="str">
        <f t="shared" si="6"/>
        <v>Sin eventos</v>
      </c>
      <c r="S20" s="30" t="str">
        <f t="shared" ref="S20:T20" si="7">(S18/S19)</f>
        <v>#DIV/0!</v>
      </c>
      <c r="T20" s="30" t="str">
        <f t="shared" si="7"/>
        <v>#DIV/0!</v>
      </c>
    </row>
    <row r="21" ht="26.25" hidden="1" customHeight="1">
      <c r="A21" s="29">
        <v>6.0</v>
      </c>
      <c r="B21" s="15" t="s">
        <v>18</v>
      </c>
      <c r="C21" s="16" t="s">
        <v>36</v>
      </c>
      <c r="D21" s="28" t="s">
        <v>37</v>
      </c>
      <c r="E21" s="16" t="s">
        <v>12</v>
      </c>
      <c r="F21" s="18">
        <v>1.0</v>
      </c>
      <c r="G21" s="18" t="s">
        <v>38</v>
      </c>
      <c r="H21" s="19" t="s">
        <v>14</v>
      </c>
      <c r="I21" s="20" t="s">
        <v>39</v>
      </c>
      <c r="J21" s="20">
        <v>1.0</v>
      </c>
      <c r="K21" s="20" t="s">
        <v>39</v>
      </c>
      <c r="L21" s="20" t="s">
        <v>39</v>
      </c>
      <c r="M21" s="20" t="s">
        <v>39</v>
      </c>
      <c r="N21" s="20" t="s">
        <v>39</v>
      </c>
      <c r="O21" s="20" t="s">
        <v>39</v>
      </c>
      <c r="P21" s="20"/>
      <c r="Q21" s="20"/>
      <c r="R21" s="20"/>
      <c r="S21" s="20"/>
      <c r="T21" s="20"/>
    </row>
    <row r="22" ht="15.75" hidden="1" customHeight="1">
      <c r="A22" s="22"/>
      <c r="B22" s="22"/>
      <c r="C22" s="22"/>
      <c r="D22" s="16" t="s">
        <v>40</v>
      </c>
      <c r="E22" s="22"/>
      <c r="F22" s="22"/>
      <c r="G22" s="22"/>
      <c r="H22" s="19" t="s">
        <v>16</v>
      </c>
      <c r="I22" s="20" t="s">
        <v>39</v>
      </c>
      <c r="J22" s="24">
        <v>1.0</v>
      </c>
      <c r="K22" s="20" t="s">
        <v>39</v>
      </c>
      <c r="L22" s="20" t="s">
        <v>39</v>
      </c>
      <c r="M22" s="20" t="s">
        <v>39</v>
      </c>
      <c r="N22" s="20" t="s">
        <v>39</v>
      </c>
      <c r="O22" s="20" t="s">
        <v>39</v>
      </c>
      <c r="P22" s="24"/>
      <c r="Q22" s="24"/>
      <c r="R22" s="24"/>
      <c r="S22" s="24"/>
      <c r="T22" s="24"/>
    </row>
    <row r="23" ht="26.25" hidden="1" customHeight="1">
      <c r="A23" s="25"/>
      <c r="B23" s="25"/>
      <c r="C23" s="25"/>
      <c r="D23" s="25"/>
      <c r="E23" s="25"/>
      <c r="F23" s="25"/>
      <c r="G23" s="25"/>
      <c r="H23" s="19" t="s">
        <v>17</v>
      </c>
      <c r="I23" s="26" t="s">
        <v>30</v>
      </c>
      <c r="J23" s="26">
        <f>(J21/J22)</f>
        <v>1</v>
      </c>
      <c r="K23" s="26" t="s">
        <v>30</v>
      </c>
      <c r="L23" s="26" t="s">
        <v>30</v>
      </c>
      <c r="M23" s="26" t="s">
        <v>30</v>
      </c>
      <c r="N23" s="26" t="s">
        <v>30</v>
      </c>
      <c r="O23" s="26" t="s">
        <v>30</v>
      </c>
      <c r="P23" s="27" t="str">
        <f t="shared" ref="P23:T23" si="8">(P21/P22)</f>
        <v>#DIV/0!</v>
      </c>
      <c r="Q23" s="27" t="str">
        <f t="shared" si="8"/>
        <v>#DIV/0!</v>
      </c>
      <c r="R23" s="27" t="str">
        <f t="shared" si="8"/>
        <v>#DIV/0!</v>
      </c>
      <c r="S23" s="27" t="str">
        <f t="shared" si="8"/>
        <v>#DIV/0!</v>
      </c>
      <c r="T23" s="27" t="str">
        <f t="shared" si="8"/>
        <v>#DIV/0!</v>
      </c>
    </row>
    <row r="24" ht="26.25" customHeight="1">
      <c r="A24" s="29">
        <v>7.0</v>
      </c>
      <c r="B24" s="15" t="s">
        <v>18</v>
      </c>
      <c r="C24" s="16" t="s">
        <v>41</v>
      </c>
      <c r="D24" s="28" t="s">
        <v>42</v>
      </c>
      <c r="E24" s="16" t="s">
        <v>12</v>
      </c>
      <c r="F24" s="18">
        <v>1.0</v>
      </c>
      <c r="G24" s="18" t="s">
        <v>43</v>
      </c>
      <c r="H24" s="19" t="s">
        <v>14</v>
      </c>
      <c r="I24" s="20">
        <v>2.0</v>
      </c>
      <c r="J24" s="20">
        <v>2.0</v>
      </c>
      <c r="K24" s="20">
        <v>1.0</v>
      </c>
      <c r="L24" s="20">
        <v>1.0</v>
      </c>
      <c r="M24" s="20">
        <v>1.0</v>
      </c>
      <c r="N24" s="20">
        <v>1.0</v>
      </c>
      <c r="O24" s="20">
        <v>1.0</v>
      </c>
      <c r="P24" s="20">
        <v>1.0</v>
      </c>
      <c r="Q24" s="20">
        <v>1.0</v>
      </c>
      <c r="R24" s="20">
        <v>1.0</v>
      </c>
      <c r="S24" s="20"/>
      <c r="T24" s="20"/>
    </row>
    <row r="25" ht="15.75" customHeight="1">
      <c r="A25" s="22"/>
      <c r="B25" s="22"/>
      <c r="C25" s="22"/>
      <c r="D25" s="16" t="s">
        <v>44</v>
      </c>
      <c r="E25" s="22"/>
      <c r="F25" s="22"/>
      <c r="G25" s="22"/>
      <c r="H25" s="19" t="s">
        <v>16</v>
      </c>
      <c r="I25" s="24">
        <v>2.0</v>
      </c>
      <c r="J25" s="24">
        <v>2.0</v>
      </c>
      <c r="K25" s="24">
        <v>1.0</v>
      </c>
      <c r="L25" s="24">
        <v>1.0</v>
      </c>
      <c r="M25" s="24">
        <v>1.0</v>
      </c>
      <c r="N25" s="24">
        <v>1.0</v>
      </c>
      <c r="O25" s="24">
        <v>1.0</v>
      </c>
      <c r="P25" s="24">
        <v>1.0</v>
      </c>
      <c r="Q25" s="24">
        <v>1.0</v>
      </c>
      <c r="R25" s="24">
        <v>1.0</v>
      </c>
      <c r="S25" s="24"/>
      <c r="T25" s="24"/>
    </row>
    <row r="26" ht="26.25" customHeight="1">
      <c r="A26" s="25"/>
      <c r="B26" s="25"/>
      <c r="C26" s="25"/>
      <c r="D26" s="25"/>
      <c r="E26" s="25"/>
      <c r="F26" s="25"/>
      <c r="G26" s="25"/>
      <c r="H26" s="19" t="s">
        <v>17</v>
      </c>
      <c r="I26" s="26">
        <f t="shared" ref="I26:T26" si="9">(I24/I25)</f>
        <v>1</v>
      </c>
      <c r="J26" s="26">
        <f t="shared" si="9"/>
        <v>1</v>
      </c>
      <c r="K26" s="27">
        <f t="shared" si="9"/>
        <v>1</v>
      </c>
      <c r="L26" s="27">
        <f t="shared" si="9"/>
        <v>1</v>
      </c>
      <c r="M26" s="27">
        <f t="shared" si="9"/>
        <v>1</v>
      </c>
      <c r="N26" s="27">
        <f t="shared" si="9"/>
        <v>1</v>
      </c>
      <c r="O26" s="27">
        <f t="shared" si="9"/>
        <v>1</v>
      </c>
      <c r="P26" s="27">
        <f t="shared" si="9"/>
        <v>1</v>
      </c>
      <c r="Q26" s="27">
        <f t="shared" si="9"/>
        <v>1</v>
      </c>
      <c r="R26" s="27">
        <f t="shared" si="9"/>
        <v>1</v>
      </c>
      <c r="S26" s="27" t="str">
        <f t="shared" si="9"/>
        <v>#DIV/0!</v>
      </c>
      <c r="T26" s="27" t="str">
        <f t="shared" si="9"/>
        <v>#DIV/0!</v>
      </c>
    </row>
    <row r="27" ht="34.5" customHeight="1">
      <c r="A27" s="29">
        <v>8.0</v>
      </c>
      <c r="B27" s="15" t="s">
        <v>45</v>
      </c>
      <c r="C27" s="16" t="s">
        <v>46</v>
      </c>
      <c r="D27" s="28" t="s">
        <v>47</v>
      </c>
      <c r="E27" s="16" t="s">
        <v>12</v>
      </c>
      <c r="F27" s="18" t="s">
        <v>28</v>
      </c>
      <c r="G27" s="18" t="s">
        <v>48</v>
      </c>
      <c r="H27" s="19" t="s">
        <v>14</v>
      </c>
      <c r="I27" s="20">
        <v>0.0</v>
      </c>
      <c r="J27" s="20">
        <v>0.0</v>
      </c>
      <c r="K27" s="20">
        <v>0.0</v>
      </c>
      <c r="L27" s="20">
        <v>0.0</v>
      </c>
      <c r="M27" s="20">
        <v>0.0</v>
      </c>
      <c r="N27" s="20">
        <v>0.0</v>
      </c>
      <c r="O27" s="20">
        <v>0.0</v>
      </c>
      <c r="P27" s="20">
        <v>0.0</v>
      </c>
      <c r="Q27" s="20">
        <v>0.0</v>
      </c>
      <c r="R27" s="20">
        <v>0.0</v>
      </c>
      <c r="S27" s="20"/>
      <c r="T27" s="20"/>
    </row>
    <row r="28" ht="26.25" customHeight="1">
      <c r="A28" s="22"/>
      <c r="B28" s="22"/>
      <c r="C28" s="22"/>
      <c r="D28" s="16" t="s">
        <v>49</v>
      </c>
      <c r="E28" s="22"/>
      <c r="F28" s="22"/>
      <c r="G28" s="22"/>
      <c r="H28" s="19" t="s">
        <v>16</v>
      </c>
      <c r="I28" s="24">
        <v>0.0</v>
      </c>
      <c r="J28" s="24">
        <v>0.0</v>
      </c>
      <c r="K28" s="24">
        <v>0.0</v>
      </c>
      <c r="L28" s="24">
        <v>0.0</v>
      </c>
      <c r="M28" s="24">
        <v>0.0</v>
      </c>
      <c r="N28" s="24">
        <v>0.0</v>
      </c>
      <c r="O28" s="24">
        <v>0.0</v>
      </c>
      <c r="P28" s="24">
        <v>0.0</v>
      </c>
      <c r="Q28" s="24">
        <v>0.0</v>
      </c>
      <c r="R28" s="24">
        <v>0.0</v>
      </c>
      <c r="S28" s="24"/>
      <c r="T28" s="24"/>
    </row>
    <row r="29" ht="26.25" customHeight="1">
      <c r="A29" s="25"/>
      <c r="B29" s="25"/>
      <c r="C29" s="25"/>
      <c r="D29" s="25"/>
      <c r="E29" s="25"/>
      <c r="F29" s="25"/>
      <c r="G29" s="25"/>
      <c r="H29" s="19" t="s">
        <v>17</v>
      </c>
      <c r="I29" s="26" t="str">
        <f t="shared" ref="I29:R29" si="10">IF(I28=0, "Sin eventos", I27/I28)</f>
        <v>Sin eventos</v>
      </c>
      <c r="J29" s="26" t="str">
        <f t="shared" si="10"/>
        <v>Sin eventos</v>
      </c>
      <c r="K29" s="26" t="str">
        <f t="shared" si="10"/>
        <v>Sin eventos</v>
      </c>
      <c r="L29" s="26" t="str">
        <f t="shared" si="10"/>
        <v>Sin eventos</v>
      </c>
      <c r="M29" s="26" t="str">
        <f t="shared" si="10"/>
        <v>Sin eventos</v>
      </c>
      <c r="N29" s="26" t="str">
        <f t="shared" si="10"/>
        <v>Sin eventos</v>
      </c>
      <c r="O29" s="26" t="str">
        <f t="shared" si="10"/>
        <v>Sin eventos</v>
      </c>
      <c r="P29" s="26" t="str">
        <f t="shared" si="10"/>
        <v>Sin eventos</v>
      </c>
      <c r="Q29" s="26" t="str">
        <f t="shared" si="10"/>
        <v>Sin eventos</v>
      </c>
      <c r="R29" s="26" t="str">
        <f t="shared" si="10"/>
        <v>Sin eventos</v>
      </c>
      <c r="S29" s="26" t="str">
        <f t="shared" ref="S29:T29" si="11">(S27/S28)</f>
        <v>#DIV/0!</v>
      </c>
      <c r="T29" s="26" t="str">
        <f t="shared" si="11"/>
        <v>#DIV/0!</v>
      </c>
    </row>
    <row r="30" ht="34.5" customHeight="1">
      <c r="A30" s="29">
        <v>9.0</v>
      </c>
      <c r="B30" s="15" t="s">
        <v>45</v>
      </c>
      <c r="C30" s="16" t="s">
        <v>50</v>
      </c>
      <c r="D30" s="28" t="s">
        <v>51</v>
      </c>
      <c r="E30" s="16" t="s">
        <v>12</v>
      </c>
      <c r="F30" s="18" t="s">
        <v>28</v>
      </c>
      <c r="G30" s="18" t="s">
        <v>48</v>
      </c>
      <c r="H30" s="19" t="s">
        <v>14</v>
      </c>
      <c r="I30" s="20">
        <v>0.0</v>
      </c>
      <c r="J30" s="20">
        <v>0.0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20">
        <v>0.0</v>
      </c>
      <c r="S30" s="20"/>
      <c r="T30" s="20"/>
    </row>
    <row r="31" ht="26.25" customHeight="1">
      <c r="A31" s="22"/>
      <c r="B31" s="22"/>
      <c r="C31" s="22"/>
      <c r="D31" s="16" t="s">
        <v>52</v>
      </c>
      <c r="E31" s="22"/>
      <c r="F31" s="22"/>
      <c r="G31" s="22"/>
      <c r="H31" s="19" t="s">
        <v>16</v>
      </c>
      <c r="I31" s="24">
        <v>0.0</v>
      </c>
      <c r="J31" s="24">
        <v>0.0</v>
      </c>
      <c r="K31" s="24">
        <v>0.0</v>
      </c>
      <c r="L31" s="24">
        <v>0.0</v>
      </c>
      <c r="M31" s="24">
        <v>0.0</v>
      </c>
      <c r="N31" s="24">
        <v>0.0</v>
      </c>
      <c r="O31" s="24">
        <v>0.0</v>
      </c>
      <c r="P31" s="24">
        <v>0.0</v>
      </c>
      <c r="Q31" s="24">
        <v>0.0</v>
      </c>
      <c r="R31" s="24">
        <v>0.0</v>
      </c>
      <c r="S31" s="24"/>
      <c r="T31" s="24"/>
    </row>
    <row r="32" ht="26.25" customHeight="1">
      <c r="A32" s="25"/>
      <c r="B32" s="25"/>
      <c r="C32" s="25"/>
      <c r="D32" s="25"/>
      <c r="E32" s="25"/>
      <c r="F32" s="25"/>
      <c r="G32" s="25"/>
      <c r="H32" s="19" t="s">
        <v>17</v>
      </c>
      <c r="I32" s="26" t="str">
        <f t="shared" ref="I32:R32" si="12">IF(I31=0, "Sin eventos", I30/I31)</f>
        <v>Sin eventos</v>
      </c>
      <c r="J32" s="26" t="str">
        <f t="shared" si="12"/>
        <v>Sin eventos</v>
      </c>
      <c r="K32" s="26" t="str">
        <f t="shared" si="12"/>
        <v>Sin eventos</v>
      </c>
      <c r="L32" s="26" t="str">
        <f t="shared" si="12"/>
        <v>Sin eventos</v>
      </c>
      <c r="M32" s="26" t="str">
        <f t="shared" si="12"/>
        <v>Sin eventos</v>
      </c>
      <c r="N32" s="26" t="str">
        <f t="shared" si="12"/>
        <v>Sin eventos</v>
      </c>
      <c r="O32" s="26" t="str">
        <f t="shared" si="12"/>
        <v>Sin eventos</v>
      </c>
      <c r="P32" s="26" t="str">
        <f t="shared" si="12"/>
        <v>Sin eventos</v>
      </c>
      <c r="Q32" s="26" t="str">
        <f t="shared" si="12"/>
        <v>Sin eventos</v>
      </c>
      <c r="R32" s="26" t="str">
        <f t="shared" si="12"/>
        <v>Sin eventos</v>
      </c>
      <c r="S32" s="26" t="str">
        <f t="shared" ref="S32:T32" si="13">(S30/S31)</f>
        <v>#DIV/0!</v>
      </c>
      <c r="T32" s="26" t="str">
        <f t="shared" si="13"/>
        <v>#DIV/0!</v>
      </c>
    </row>
    <row r="33" ht="36.75" customHeight="1">
      <c r="A33" s="29">
        <v>10.0</v>
      </c>
      <c r="B33" s="15" t="s">
        <v>21</v>
      </c>
      <c r="C33" s="32" t="s">
        <v>53</v>
      </c>
      <c r="D33" s="17" t="s">
        <v>54</v>
      </c>
      <c r="E33" s="16" t="s">
        <v>12</v>
      </c>
      <c r="F33" s="18" t="s">
        <v>28</v>
      </c>
      <c r="G33" s="18" t="s">
        <v>34</v>
      </c>
      <c r="H33" s="19" t="s">
        <v>14</v>
      </c>
      <c r="I33" s="20">
        <v>0.0</v>
      </c>
      <c r="J33" s="20">
        <v>0.0</v>
      </c>
      <c r="K33" s="20">
        <v>0.0</v>
      </c>
      <c r="L33" s="20">
        <v>0.0</v>
      </c>
      <c r="M33" s="20">
        <v>0.0</v>
      </c>
      <c r="N33" s="20">
        <v>0.0</v>
      </c>
      <c r="O33" s="20">
        <v>0.0</v>
      </c>
      <c r="P33" s="20">
        <v>0.0</v>
      </c>
      <c r="Q33" s="20">
        <v>0.0</v>
      </c>
      <c r="R33" s="20">
        <v>0.0</v>
      </c>
      <c r="S33" s="20"/>
      <c r="T33" s="20"/>
    </row>
    <row r="34" ht="15.75" customHeight="1">
      <c r="A34" s="22"/>
      <c r="B34" s="22"/>
      <c r="C34" s="22"/>
      <c r="D34" s="32" t="s">
        <v>55</v>
      </c>
      <c r="E34" s="22"/>
      <c r="F34" s="22"/>
      <c r="G34" s="22"/>
      <c r="H34" s="19" t="s">
        <v>16</v>
      </c>
      <c r="I34" s="24">
        <v>0.0</v>
      </c>
      <c r="J34" s="24">
        <v>0.0</v>
      </c>
      <c r="K34" s="24">
        <v>0.0</v>
      </c>
      <c r="L34" s="24">
        <v>0.0</v>
      </c>
      <c r="M34" s="24">
        <v>0.0</v>
      </c>
      <c r="N34" s="24">
        <v>0.0</v>
      </c>
      <c r="O34" s="24">
        <v>0.0</v>
      </c>
      <c r="P34" s="24">
        <v>0.0</v>
      </c>
      <c r="Q34" s="24">
        <v>0.0</v>
      </c>
      <c r="R34" s="24">
        <v>0.0</v>
      </c>
      <c r="S34" s="24"/>
      <c r="T34" s="24"/>
    </row>
    <row r="35" ht="26.25" customHeight="1">
      <c r="A35" s="25"/>
      <c r="B35" s="25"/>
      <c r="C35" s="25"/>
      <c r="D35" s="25"/>
      <c r="E35" s="25"/>
      <c r="F35" s="25"/>
      <c r="G35" s="25"/>
      <c r="H35" s="19" t="s">
        <v>17</v>
      </c>
      <c r="I35" s="26" t="str">
        <f t="shared" ref="I35:R35" si="14">IF(I34=0, "Sin eventos", I33/I34)</f>
        <v>Sin eventos</v>
      </c>
      <c r="J35" s="26" t="str">
        <f t="shared" si="14"/>
        <v>Sin eventos</v>
      </c>
      <c r="K35" s="26" t="str">
        <f t="shared" si="14"/>
        <v>Sin eventos</v>
      </c>
      <c r="L35" s="26" t="str">
        <f t="shared" si="14"/>
        <v>Sin eventos</v>
      </c>
      <c r="M35" s="26" t="str">
        <f t="shared" si="14"/>
        <v>Sin eventos</v>
      </c>
      <c r="N35" s="26" t="str">
        <f t="shared" si="14"/>
        <v>Sin eventos</v>
      </c>
      <c r="O35" s="26" t="str">
        <f t="shared" si="14"/>
        <v>Sin eventos</v>
      </c>
      <c r="P35" s="26" t="str">
        <f t="shared" si="14"/>
        <v>Sin eventos</v>
      </c>
      <c r="Q35" s="26" t="str">
        <f t="shared" si="14"/>
        <v>Sin eventos</v>
      </c>
      <c r="R35" s="26" t="str">
        <f t="shared" si="14"/>
        <v>Sin eventos</v>
      </c>
      <c r="S35" s="30" t="str">
        <f t="shared" ref="S35:T35" si="15">(S33/S34)</f>
        <v>#DIV/0!</v>
      </c>
      <c r="T35" s="30" t="str">
        <f t="shared" si="15"/>
        <v>#DIV/0!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74">
    <mergeCell ref="A18:A20"/>
    <mergeCell ref="B18:B20"/>
    <mergeCell ref="C18:C20"/>
    <mergeCell ref="E18:E20"/>
    <mergeCell ref="F18:F20"/>
    <mergeCell ref="G18:G20"/>
    <mergeCell ref="D19:D20"/>
    <mergeCell ref="A21:A23"/>
    <mergeCell ref="B21:B23"/>
    <mergeCell ref="C21:C23"/>
    <mergeCell ref="E21:E23"/>
    <mergeCell ref="F21:F23"/>
    <mergeCell ref="G21:G23"/>
    <mergeCell ref="D22:D23"/>
    <mergeCell ref="A27:A29"/>
    <mergeCell ref="B27:B29"/>
    <mergeCell ref="C27:C29"/>
    <mergeCell ref="E27:E29"/>
    <mergeCell ref="F27:F29"/>
    <mergeCell ref="G27:G29"/>
    <mergeCell ref="D28:D29"/>
    <mergeCell ref="A30:A32"/>
    <mergeCell ref="B30:B32"/>
    <mergeCell ref="C30:C32"/>
    <mergeCell ref="E30:E32"/>
    <mergeCell ref="F30:F32"/>
    <mergeCell ref="G30:G32"/>
    <mergeCell ref="D31:D32"/>
    <mergeCell ref="A33:A35"/>
    <mergeCell ref="B33:B35"/>
    <mergeCell ref="C33:C35"/>
    <mergeCell ref="E33:E35"/>
    <mergeCell ref="F33:F35"/>
    <mergeCell ref="G33:G35"/>
    <mergeCell ref="D34:D35"/>
    <mergeCell ref="E6:E8"/>
    <mergeCell ref="F6:F8"/>
    <mergeCell ref="A1:C3"/>
    <mergeCell ref="D1:P3"/>
    <mergeCell ref="Q1:T3"/>
    <mergeCell ref="A4:T4"/>
    <mergeCell ref="A6:A8"/>
    <mergeCell ref="B6:B8"/>
    <mergeCell ref="G6:G8"/>
    <mergeCell ref="E9:E11"/>
    <mergeCell ref="D10:D11"/>
    <mergeCell ref="C6:C8"/>
    <mergeCell ref="D7:D8"/>
    <mergeCell ref="A9:A11"/>
    <mergeCell ref="B9:B11"/>
    <mergeCell ref="C9:C11"/>
    <mergeCell ref="F9:F11"/>
    <mergeCell ref="G9:G11"/>
    <mergeCell ref="A12:A14"/>
    <mergeCell ref="B12:B14"/>
    <mergeCell ref="C12:C14"/>
    <mergeCell ref="E12:E14"/>
    <mergeCell ref="F12:F14"/>
    <mergeCell ref="G12:G14"/>
    <mergeCell ref="D13:D14"/>
    <mergeCell ref="A15:A17"/>
    <mergeCell ref="B15:B17"/>
    <mergeCell ref="C15:C17"/>
    <mergeCell ref="D15:D16"/>
    <mergeCell ref="E15:E17"/>
    <mergeCell ref="F15:F17"/>
    <mergeCell ref="G15:G17"/>
    <mergeCell ref="A24:A26"/>
    <mergeCell ref="B24:B26"/>
    <mergeCell ref="C24:C26"/>
    <mergeCell ref="E24:E26"/>
    <mergeCell ref="F24:F26"/>
    <mergeCell ref="G24:G26"/>
    <mergeCell ref="D25:D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2021-06-29T20:52:26Z</dcterms:created>
  <dc:creator>Windows User</dc:creator>
</cp:coreProperties>
</file>