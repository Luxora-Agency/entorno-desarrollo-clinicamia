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<sst xmlns="http://schemas.openxmlformats.org/spreadsheetml/2006/main" count="92" uniqueCount="68">
  <si>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</si>
  <si>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</si>
  <si>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</si>
  <si>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</si>
  <si>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</si>
  <si>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</si>
  <si>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GPC para el diagnostico, tratamiento del hipotiroidismo, seg social de Mexico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</si>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</sst>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3" fillId="2" fontId="5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4" numFmtId="0" xfId="0" applyAlignment="1" applyBorder="1" applyFont="1">
      <alignment horizontal="right" shrinkToFit="0" vertical="bottom" wrapText="1"/>
    </xf>
    <xf borderId="13" fillId="2" fontId="11" numFmtId="0" xfId="0" applyAlignment="1" applyBorder="1" applyFont="1">
      <alignment horizontal="center" vertical="bottom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5"/>
      <c r="I30" s="35"/>
      <c r="J30" s="36"/>
      <c r="K30" s="36" t="s">
        <v>17</v>
      </c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6" t="s">
        <v>17</v>
      </c>
      <c r="K31" s="36"/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0</v>
      </c>
      <c r="I33" s="38">
        <f>COUNTA(I30:I32)*5</f>
        <v>0</v>
      </c>
      <c r="J33" s="38">
        <f>COUNTA(J30:J32)*6</f>
        <v>6</v>
      </c>
      <c r="K33" s="38">
        <f>COUNTA(K30:K32)*7</f>
        <v>14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0.9444444444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6" t="s">
        <v>17</v>
      </c>
      <c r="K36" s="36"/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 t="s">
        <v>17</v>
      </c>
      <c r="J37" s="36"/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/>
      <c r="K38" s="36" t="s">
        <v>17</v>
      </c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5</v>
      </c>
      <c r="J39" s="38">
        <f>COUNTA(J36:J38)*6</f>
        <v>6</v>
      </c>
      <c r="K39" s="38">
        <f>COUNTA(K36:K38)*7</f>
        <v>7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0.8333333333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6" t="s">
        <v>17</v>
      </c>
      <c r="K42" s="36"/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5"/>
      <c r="J44" s="36" t="s">
        <v>17</v>
      </c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5"/>
      <c r="J45" s="36"/>
      <c r="K45" s="36" t="s">
        <v>17</v>
      </c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5"/>
      <c r="J46" s="36" t="s">
        <v>17</v>
      </c>
      <c r="K46" s="36"/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5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/>
      <c r="I49" s="35"/>
      <c r="J49" s="36" t="s">
        <v>17</v>
      </c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0</v>
      </c>
      <c r="I50" s="38">
        <f>COUNTA(I42:I49)*5</f>
        <v>0</v>
      </c>
      <c r="J50" s="38">
        <f>COUNTA(J42:J49)*6</f>
        <v>42</v>
      </c>
      <c r="K50" s="38">
        <f>COUNTA(K42:K49)*7</f>
        <v>7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0.8541666667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 t="s">
        <v>17</v>
      </c>
      <c r="J53" s="35"/>
      <c r="K53" s="35"/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5"/>
      <c r="J54" s="36"/>
      <c r="K54" s="36" t="s">
        <v>17</v>
      </c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 t="s">
        <v>17</v>
      </c>
      <c r="J55" s="35"/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10</v>
      </c>
      <c r="J56" s="38">
        <f>COUNTA(J53:J55)*6</f>
        <v>0</v>
      </c>
      <c r="K56" s="38">
        <f>COUNTA(K53:K55)*7</f>
        <v>7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0.7777777778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5"/>
      <c r="J59" s="36"/>
      <c r="K59" s="36" t="s">
        <v>17</v>
      </c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/>
      <c r="K60" s="36" t="s">
        <v>17</v>
      </c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5"/>
      <c r="J61" s="36" t="s">
        <v>17</v>
      </c>
      <c r="K61" s="36"/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5"/>
      <c r="J62" s="36"/>
      <c r="K62" s="36" t="s">
        <v>17</v>
      </c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6</v>
      </c>
      <c r="K63" s="38">
        <f>COUNTA(K59:K62)*7</f>
        <v>21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0.9583333333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 t="s">
        <v>17</v>
      </c>
      <c r="K66" s="35"/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5"/>
      <c r="J67" s="35"/>
      <c r="K67" s="36" t="s">
        <v>17</v>
      </c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6</v>
      </c>
      <c r="K68" s="38">
        <f>COUNTA(K66:K67)*7</f>
        <v>7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0.9166666667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5"/>
      <c r="J71" s="36" t="s">
        <v>17</v>
      </c>
      <c r="K71" s="36"/>
    </row>
    <row r="72">
      <c r="A72" s="33">
        <v>2.0</v>
      </c>
      <c r="B72" s="40" t="s">
        <v>59</v>
      </c>
      <c r="C72" s="11"/>
      <c r="D72" s="12"/>
      <c r="E72" s="41" t="s">
        <v>60</v>
      </c>
      <c r="F72" s="42" t="s">
        <v>17</v>
      </c>
      <c r="G72" s="43" t="s">
        <v>61</v>
      </c>
      <c r="H72" s="12"/>
      <c r="I72" s="41"/>
      <c r="J72" s="41" t="s">
        <v>62</v>
      </c>
      <c r="K72" s="41"/>
    </row>
    <row r="73">
      <c r="A73" s="44"/>
      <c r="B73" s="44"/>
      <c r="C73" s="45"/>
      <c r="D73" s="45"/>
      <c r="E73" s="45"/>
      <c r="F73" s="45"/>
      <c r="G73" s="45"/>
      <c r="H73" s="45"/>
      <c r="I73" s="45"/>
      <c r="J73" s="45"/>
      <c r="K73" s="44"/>
    </row>
    <row r="74">
      <c r="A74" s="46" t="s">
        <v>63</v>
      </c>
      <c r="B74" s="47"/>
      <c r="C74" s="48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49"/>
    </row>
    <row r="75">
      <c r="A75" s="50"/>
      <c r="B75" s="51"/>
      <c r="C75" s="52" t="s">
        <v>65</v>
      </c>
      <c r="D75" s="12"/>
      <c r="E75" s="53">
        <f>E34</f>
        <v>0.9444444444</v>
      </c>
      <c r="F75" s="53">
        <f>E40</f>
        <v>0.8333333333</v>
      </c>
      <c r="G75" s="53">
        <f>E51</f>
        <v>0.8541666667</v>
      </c>
      <c r="H75" s="53">
        <f>E57</f>
        <v>0.7777777778</v>
      </c>
      <c r="I75" s="53">
        <f>E64</f>
        <v>0.9583333333</v>
      </c>
      <c r="J75" s="53">
        <f>E69</f>
        <v>0.9166666667</v>
      </c>
      <c r="K75" s="54"/>
    </row>
    <row r="76">
      <c r="A76" s="50"/>
      <c r="B76" s="51"/>
      <c r="C76" s="52" t="s">
        <v>66</v>
      </c>
      <c r="D76" s="12"/>
      <c r="E76" s="55">
        <f>SUM(E75:J75)/6</f>
        <v>0.880787037</v>
      </c>
      <c r="F76" s="11"/>
      <c r="G76" s="11"/>
      <c r="H76" s="11"/>
      <c r="I76" s="11"/>
      <c r="J76" s="12"/>
      <c r="K76" s="54"/>
    </row>
    <row r="77">
      <c r="A77" s="50"/>
      <c r="B77" s="56"/>
      <c r="C77" s="56"/>
      <c r="D77" s="56"/>
      <c r="E77" s="54"/>
      <c r="F77" s="54"/>
      <c r="G77" s="54"/>
      <c r="H77" s="54"/>
      <c r="I77" s="50"/>
      <c r="J77" s="50"/>
      <c r="K77" s="50"/>
    </row>
    <row r="78">
      <c r="A78" s="57"/>
      <c r="B78" s="58" t="s">
        <v>67</v>
      </c>
      <c r="C78" s="59" t="str">
        <f>IF(AND(E76&gt;85%,E51&gt;60%,E69&gt;60%)=TRUE,"Muy recomendada",IF(E76&gt;60%,"Recomendada",IF(E76&gt;30%,"Recomendada con condiciones o modificaciones","No recomendada")))</f>
        <v>Muy recomendada</v>
      </c>
      <c r="D78" s="60"/>
      <c r="E78" s="54"/>
      <c r="F78" s="54"/>
      <c r="G78" s="54"/>
      <c r="H78" s="54"/>
      <c r="I78" s="50"/>
      <c r="J78" s="50"/>
      <c r="K78" s="50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