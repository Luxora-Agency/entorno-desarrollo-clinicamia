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<sst xmlns="http://schemas.openxmlformats.org/spreadsheetml/2006/main" count="92" uniqueCount="68">
  <si>
    <t>Herramienta AGREE II</t>
  </si>
  <si>
    <t>CÓDIGO: EH-F-003</t>
  </si>
  <si>
    <t>VERSIÓN: 1</t>
  </si>
  <si>
    <t>FECHA DE EMISIÓN: feb 2025</t>
  </si>
  <si>
    <t>FECHA DE ELABORACION DE LA HERRAMIENTA AGREE II:</t>
  </si>
  <si>
    <t>NOMBRE DE LA GUIA DE PRACTICA CLINICA A ADOPTAR, ADAPTAR O ACTUALIZAR</t>
  </si>
  <si>
    <t>GPC para el diagnostico, tratamiento y seguimiento de la diabetes mellitus</t>
  </si>
  <si>
    <t>INTEGRANTES DEL COMITÉ DE ADOPCION, ADAPTACION O ACTUALIZACION DE LA GUIA DE PRACTICA CLINICA</t>
  </si>
  <si>
    <t>NOMBRE</t>
  </si>
  <si>
    <t>CARGO</t>
  </si>
  <si>
    <t>Carlos Vizcaino</t>
  </si>
  <si>
    <t>Médico Especialista</t>
  </si>
  <si>
    <t>Guía de opciones de respuesta</t>
  </si>
  <si>
    <t>Por favor responder todas las preguntas, marque con una X, solo una respuesta por cada pregunta:</t>
  </si>
  <si>
    <t>Cada uno de los ítems del AGREE II y los dos ítems de la evaluación global están graduados mediante una escala tipo Likert de 7 puntos (desde el 1 «Muy en desacuerdo» hasta el 7 «Muy de acuerdo»). La puntuación se asignará dependiendo del grado de cumplimiento o calidad de la información. La puntuación aumenta en la medida en que se cumplan más criterios y se aborden más consideraciones.</t>
  </si>
  <si>
    <t>DOMINIO 1. ALCANCE Y OBJETIVOS</t>
  </si>
  <si>
    <t>El(los) objetivo(s) general(es) de la guía está(n) específicamente descrito(s)</t>
  </si>
  <si>
    <t>X</t>
  </si>
  <si>
    <t>El (los) aspecto(s) de salud cubierto(s) por la guía está(n) específicamente descrito(s)</t>
  </si>
  <si>
    <t>La población (pacientes, público, etc.) a la cual se pretende aplicar la guía está específicamente descrita</t>
  </si>
  <si>
    <t>Puntaje total del Dominio 1 por item</t>
  </si>
  <si>
    <t>Puntaje estandarizado para el Dominio 1</t>
  </si>
  <si>
    <t>DOMINIO 2. PARTICIPACIÓN DE LOS IMPLICADOS</t>
  </si>
  <si>
    <t>El grupo que desarrolla la guía incluye individuos de todos los grupos profesionales relevantes</t>
  </si>
  <si>
    <t>Se han tenido en cuenta los puntos de vista y preferencias de la población diana (pacientes, público, etc.)</t>
  </si>
  <si>
    <t>Los usuarios diana de la guía están claramente definidos</t>
  </si>
  <si>
    <t>Puntaje total del Dominio 2 por item</t>
  </si>
  <si>
    <t>Puntaje estandarizado para el Dominio 2</t>
  </si>
  <si>
    <t>DOMINIO 3. RIGOR EN LA ELABORACIÓN</t>
  </si>
  <si>
    <t>Se han utilizado métodos sistemáticos para la búsqueda de la evidencia</t>
  </si>
  <si>
    <t>Los criterios para seleccionar la evidencia se describen con claridad</t>
  </si>
  <si>
    <t>Las fortalezas y limitaciones del conjunto de la evidencia están claramente descritas</t>
  </si>
  <si>
    <t>Los métodos utilizados para formular las recomendaciones están claramente descritos</t>
  </si>
  <si>
    <t>Al formular las recomendaciones han sido considerados los beneficios en salud, los efectos secundarios y los riesgos</t>
  </si>
  <si>
    <t>Hay una relación explícita entre cada una de las recomendaciones y las evidencias en las que se basan</t>
  </si>
  <si>
    <t>La guía ha sido revisada por expertos externos antes de su publicación</t>
  </si>
  <si>
    <t>Se incluye un procedimiento para actualizar la guía</t>
  </si>
  <si>
    <t>Puntaje total del Dominio 3 por item</t>
  </si>
  <si>
    <t>Puntaje estandarizado para el Dominio 3</t>
  </si>
  <si>
    <t>DOMINIO 4. CLARIDAD DE PRESENTACIÓN</t>
  </si>
  <si>
    <t>Las recomendaciones son específicas y no son ambiguas</t>
  </si>
  <si>
    <t>Las distintas opciones para el manejo de la enfermedad o condición de salud se presentan claramente</t>
  </si>
  <si>
    <t>Las recomendaciones clave son fácilmente identificables</t>
  </si>
  <si>
    <t>Puntaje total del Dominio 4 por item</t>
  </si>
  <si>
    <t>Puntaje estandarizado para el Dominio 4</t>
  </si>
  <si>
    <t>DOMINIO 5. APLICABILIDAD</t>
  </si>
  <si>
    <t>La guía describe factores facilitadores y barreras para su aplicación</t>
  </si>
  <si>
    <t>La guía proporciona consejo y/o herramientas sobre cómo las recomendaciones pueden ser llevadas a la práctica</t>
  </si>
  <si>
    <t>Se han considerado las posibles implicaciones de la aplicación de las recomendaciones sobre los recursos</t>
  </si>
  <si>
    <t>La guía ofrece criterios para monitorización y/o auditoría</t>
  </si>
  <si>
    <t>Puntaje total del Dominio 5 por item</t>
  </si>
  <si>
    <t>Puntaje estandarizado para el Dominio 5</t>
  </si>
  <si>
    <t>DOMINIO 6. INDEPENDENCIA EDITORIAL</t>
  </si>
  <si>
    <t>Los puntos de vista de la entidad financiadora no han influido en el contenido de la guía</t>
  </si>
  <si>
    <t>Se han registrado y abordado los conflictos de intereses de los miembros del grupo elaborador de la guía</t>
  </si>
  <si>
    <t>Puntaje total del Dominio 6 por item</t>
  </si>
  <si>
    <t>Puntaje estandarizado para el Dominio 6</t>
  </si>
  <si>
    <t>EVALUACION GLOBAL DE LA GUIA</t>
  </si>
  <si>
    <t>Puntúe la calidad global de la guía (desde el 1 «La calidad más baja posible» hasta el 7 «La calidad más alta posible»)</t>
  </si>
  <si>
    <t>¿Recomendaría esta guía para su uso?</t>
  </si>
  <si>
    <t>Si</t>
  </si>
  <si>
    <t>Si con recomendaciones</t>
  </si>
  <si>
    <t>No</t>
  </si>
  <si>
    <t>Fuente: http://www.agreetrust.org; Versión en español: http://www.guiasalud.es; 2009</t>
  </si>
  <si>
    <t>Dominio</t>
  </si>
  <si>
    <t>Calificación porcentual de cada dominio</t>
  </si>
  <si>
    <t>Puntuación promedio de dominios</t>
  </si>
  <si>
    <t>Concepto de clasificación de la GPC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</si>
</sst>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i/>
      <color theme="1"/>
      <name val="Arial"/>
    </font>
    <font>
      <sz val="8.0"/>
      <color theme="1"/>
      <name val="Calibri"/>
    </font>
    <font>
      <b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2" fontId="4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9" fillId="2" fontId="4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9" fillId="3" fontId="4" numFmtId="49" xfId="0" applyAlignment="1" applyBorder="1" applyFill="1" applyFont="1" applyNumberFormat="1">
      <alignment horizontal="center" vertical="bottom"/>
    </xf>
    <xf borderId="10" fillId="0" fontId="6" numFmtId="164" xfId="0" applyAlignment="1" applyBorder="1" applyFont="1" applyNumberFormat="1">
      <alignment readingOrder="0"/>
    </xf>
    <xf borderId="10" fillId="2" fontId="5" numFmtId="49" xfId="0" applyAlignment="1" applyBorder="1" applyFont="1" applyNumberFormat="1">
      <alignment vertical="bottom"/>
    </xf>
    <xf borderId="9" fillId="3" fontId="4" numFmtId="49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 readingOrder="0"/>
    </xf>
    <xf borderId="7" fillId="3" fontId="4" numFmtId="49" xfId="0" applyAlignment="1" applyBorder="1" applyFont="1" applyNumberFormat="1">
      <alignment horizontal="center" shrinkToFit="0" vertical="bottom" wrapText="1"/>
    </xf>
    <xf borderId="9" fillId="3" fontId="4" numFmtId="49" xfId="0" applyAlignment="1" applyBorder="1" applyFont="1" applyNumberFormat="1">
      <alignment horizontal="center"/>
    </xf>
    <xf borderId="10" fillId="3" fontId="4" numFmtId="0" xfId="0" applyAlignment="1" applyBorder="1" applyFont="1">
      <alignment horizontal="center"/>
    </xf>
    <xf borderId="5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6" numFmtId="0" xfId="0" applyBorder="1" applyFont="1"/>
    <xf borderId="10" fillId="2" fontId="5" numFmtId="49" xfId="0" applyBorder="1" applyFont="1" applyNumberFormat="1"/>
    <xf borderId="9" fillId="2" fontId="4" numFmtId="49" xfId="0" applyAlignment="1" applyBorder="1" applyFont="1" applyNumberFormat="1">
      <alignment horizontal="center" vertical="bottom"/>
    </xf>
    <xf borderId="9" fillId="2" fontId="9" numFmtId="49" xfId="0" applyAlignment="1" applyBorder="1" applyFont="1" applyNumberFormat="1">
      <alignment vertical="bottom"/>
    </xf>
    <xf borderId="9" fillId="2" fontId="8" numFmtId="49" xfId="0" applyAlignment="1" applyBorder="1" applyFont="1" applyNumberFormat="1">
      <alignment shrinkToFit="0" wrapText="1"/>
    </xf>
    <xf borderId="11" fillId="3" fontId="4" numFmtId="49" xfId="0" applyAlignment="1" applyBorder="1" applyFont="1" applyNumberFormat="1">
      <alignment horizontal="center" vertical="bottom"/>
    </xf>
    <xf borderId="12" fillId="2" fontId="8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right" shrinkToFit="0" vertical="top" wrapText="1"/>
    </xf>
    <xf borderId="11" fillId="2" fontId="9" numFmtId="0" xfId="0" applyAlignment="1" applyBorder="1" applyFont="1">
      <alignment horizontal="center"/>
    </xf>
    <xf borderId="10" fillId="2" fontId="9" numFmtId="10" xfId="0" applyAlignment="1" applyBorder="1" applyFont="1" applyNumberFormat="1">
      <alignment horizontal="center"/>
    </xf>
    <xf borderId="10" fillId="2" fontId="8" numFmtId="0" xfId="0" applyAlignment="1" applyBorder="1" applyFont="1">
      <alignment shrinkToFit="0" wrapText="1"/>
    </xf>
    <xf borderId="11" fillId="2" fontId="5" numFmtId="0" xfId="0" applyBorder="1" applyFont="1"/>
    <xf borderId="11" fillId="2" fontId="5" numFmtId="0" xfId="0" applyAlignment="1" applyBorder="1" applyFont="1">
      <alignment readingOrder="0"/>
    </xf>
    <xf borderId="10" fillId="2" fontId="8" numFmtId="0" xfId="0" applyAlignment="1" applyBorder="1" applyFont="1">
      <alignment horizontal="center" shrinkToFit="0" wrapText="1"/>
    </xf>
    <xf borderId="0" fillId="2" fontId="5" numFmtId="0" xfId="0" applyFont="1"/>
    <xf borderId="10" fillId="2" fontId="5" numFmtId="0" xfId="0" applyBorder="1" applyFont="1"/>
    <xf borderId="0" fillId="2" fontId="10" numFmtId="0" xfId="0" applyAlignment="1" applyFont="1">
      <alignment shrinkToFit="0" vertical="top" wrapText="0"/>
    </xf>
    <xf borderId="8" fillId="2" fontId="5" numFmtId="0" xfId="0" applyAlignment="1" applyBorder="1" applyFont="1">
      <alignment vertical="top"/>
    </xf>
    <xf borderId="10" fillId="3" fontId="4" numFmtId="0" xfId="0" applyAlignment="1" applyBorder="1" applyFont="1">
      <alignment horizontal="center" shrinkToFit="0" vertical="top" wrapText="1"/>
    </xf>
    <xf borderId="0" fillId="0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8" fillId="2" fontId="5" numFmtId="0" xfId="0" applyAlignment="1" applyBorder="1" applyFont="1">
      <alignment vertical="bottom"/>
    </xf>
    <xf borderId="10" fillId="3" fontId="4" numFmtId="0" xfId="0" applyAlignment="1" applyBorder="1" applyFont="1">
      <alignment horizontal="center" shrinkToFit="0" vertical="bottom" wrapText="1"/>
    </xf>
    <xf borderId="11" fillId="2" fontId="4" numFmtId="9" xfId="0" applyAlignment="1" applyBorder="1" applyFont="1" applyNumberFormat="1">
      <alignment horizontal="center"/>
    </xf>
    <xf borderId="0" fillId="2" fontId="5" numFmtId="9" xfId="0" applyFont="1" applyNumberFormat="1"/>
    <xf borderId="10" fillId="2" fontId="4" numFmtId="9" xfId="0" applyAlignment="1" applyBorder="1" applyFont="1" applyNumberFormat="1">
      <alignment horizontal="center"/>
    </xf>
    <xf borderId="13" fillId="2" fontId="5" numFmtId="0" xfId="0" applyAlignment="1" applyBorder="1" applyFont="1">
      <alignment vertical="bottom"/>
    </xf>
    <xf borderId="14" fillId="2" fontId="5" numFmtId="0" xfId="0" applyAlignment="1" applyBorder="1" applyFont="1">
      <alignment vertical="bottom"/>
    </xf>
    <xf borderId="15" fillId="2" fontId="4" numFmtId="0" xfId="0" applyAlignment="1" applyBorder="1" applyFont="1">
      <alignment horizontal="right" shrinkToFit="0" vertical="bottom" wrapText="1"/>
    </xf>
    <xf borderId="13" fillId="2" fontId="11" numFmtId="0" xfId="0" applyAlignment="1" applyBorder="1" applyFont="1">
      <alignment horizontal="center" vertical="bottom"/>
    </xf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10.25"/>
    <col customWidth="1" min="4" max="4" width="17.25"/>
    <col customWidth="1" min="5" max="5" width="8.75"/>
    <col customWidth="1" min="6" max="6" width="9.5"/>
    <col customWidth="1" min="7" max="7" width="10.25"/>
    <col customWidth="1" min="8" max="8" width="9.5"/>
    <col customWidth="1" min="9" max="9" width="9.25"/>
    <col customWidth="1" min="10" max="10" width="9.63"/>
    <col customWidth="1" min="11" max="11" width="9.0"/>
  </cols>
  <sheetData>
    <row r="2">
      <c r="A2" s="1"/>
      <c r="B2" s="2"/>
      <c r="C2" s="3" t="s">
        <v>0</v>
      </c>
      <c r="D2" s="4"/>
      <c r="E2" s="4"/>
      <c r="F2" s="4"/>
      <c r="G2" s="4"/>
      <c r="H2" s="4"/>
      <c r="I2" s="5" t="s">
        <v>1</v>
      </c>
      <c r="J2" s="6"/>
      <c r="K2" s="7"/>
    </row>
    <row r="3">
      <c r="A3" s="8"/>
      <c r="B3" s="9"/>
      <c r="C3" s="8"/>
      <c r="I3" s="10" t="s">
        <v>2</v>
      </c>
      <c r="J3" s="11"/>
      <c r="K3" s="12"/>
    </row>
    <row r="4" ht="39.75" customHeight="1">
      <c r="A4" s="13"/>
      <c r="B4" s="12"/>
      <c r="C4" s="13"/>
      <c r="D4" s="11"/>
      <c r="E4" s="11"/>
      <c r="F4" s="11"/>
      <c r="G4" s="11"/>
      <c r="H4" s="11"/>
      <c r="I4" s="14" t="s">
        <v>3</v>
      </c>
      <c r="J4" s="11"/>
      <c r="K4" s="12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>
      <c r="A6" s="16" t="s">
        <v>4</v>
      </c>
      <c r="B6" s="11"/>
      <c r="C6" s="11"/>
      <c r="D6" s="11"/>
      <c r="E6" s="11"/>
      <c r="F6" s="12"/>
      <c r="G6" s="17">
        <v>45741.0</v>
      </c>
      <c r="H6" s="11"/>
      <c r="I6" s="11"/>
      <c r="J6" s="11"/>
      <c r="K6" s="12"/>
    </row>
    <row r="7">
      <c r="A7" s="18"/>
      <c r="B7" s="18"/>
      <c r="C7" s="18"/>
      <c r="D7" s="18"/>
      <c r="E7" s="18"/>
      <c r="F7" s="18"/>
      <c r="G7" s="18"/>
      <c r="H7" s="15"/>
      <c r="I7" s="15"/>
      <c r="J7" s="15"/>
      <c r="K7" s="15"/>
    </row>
    <row r="8">
      <c r="A8" s="19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>
      <c r="A9" s="2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2"/>
    </row>
    <row r="10">
      <c r="A10" s="18"/>
      <c r="B10" s="18"/>
      <c r="C10" s="18"/>
      <c r="D10" s="18"/>
      <c r="E10" s="18"/>
      <c r="F10" s="18"/>
      <c r="G10" s="18"/>
      <c r="H10" s="15"/>
      <c r="I10" s="15"/>
      <c r="J10" s="15"/>
      <c r="K10" s="15"/>
    </row>
    <row r="11">
      <c r="A11" s="21" t="s">
        <v>7</v>
      </c>
      <c r="K11" s="9"/>
    </row>
    <row r="12">
      <c r="A12" s="13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>
      <c r="A13" s="22" t="s">
        <v>8</v>
      </c>
      <c r="B13" s="11"/>
      <c r="C13" s="12"/>
      <c r="D13" s="23" t="s">
        <v>9</v>
      </c>
      <c r="E13" s="11"/>
      <c r="F13" s="11"/>
      <c r="G13" s="11"/>
      <c r="H13" s="11"/>
      <c r="I13" s="11"/>
      <c r="J13" s="11"/>
      <c r="K13" s="12"/>
    </row>
    <row r="14">
      <c r="A14" s="24" t="s">
        <v>10</v>
      </c>
      <c r="B14" s="6"/>
      <c r="C14" s="7"/>
      <c r="D14" s="24" t="s">
        <v>11</v>
      </c>
      <c r="E14" s="6"/>
      <c r="F14" s="6"/>
      <c r="G14" s="6"/>
      <c r="H14" s="6"/>
      <c r="I14" s="6"/>
      <c r="J14" s="6"/>
      <c r="K14" s="7"/>
    </row>
    <row r="15">
      <c r="A15" s="25"/>
      <c r="B15" s="11"/>
      <c r="C15" s="12"/>
      <c r="D15" s="25"/>
      <c r="E15" s="11"/>
      <c r="F15" s="11"/>
      <c r="G15" s="11"/>
      <c r="H15" s="11"/>
      <c r="I15" s="11"/>
      <c r="J15" s="11"/>
      <c r="K15" s="12"/>
    </row>
    <row r="16">
      <c r="A16" s="25"/>
      <c r="B16" s="11"/>
      <c r="C16" s="12"/>
      <c r="D16" s="26"/>
      <c r="E16" s="11"/>
      <c r="F16" s="11"/>
      <c r="G16" s="11"/>
      <c r="H16" s="11"/>
      <c r="I16" s="11"/>
      <c r="J16" s="11"/>
      <c r="K16" s="12"/>
    </row>
    <row r="17">
      <c r="A17" s="27"/>
      <c r="B17" s="11"/>
      <c r="C17" s="12"/>
      <c r="D17" s="27"/>
      <c r="E17" s="11"/>
      <c r="F17" s="11"/>
      <c r="G17" s="11"/>
      <c r="H17" s="11"/>
      <c r="I17" s="11"/>
      <c r="J17" s="11"/>
      <c r="K17" s="12"/>
    </row>
    <row r="18">
      <c r="A18" s="27"/>
      <c r="B18" s="11"/>
      <c r="C18" s="12"/>
      <c r="D18" s="27"/>
      <c r="E18" s="11"/>
      <c r="F18" s="11"/>
      <c r="G18" s="11"/>
      <c r="H18" s="11"/>
      <c r="I18" s="11"/>
      <c r="J18" s="11"/>
      <c r="K18" s="12"/>
    </row>
    <row r="19">
      <c r="A19" s="27"/>
      <c r="B19" s="11"/>
      <c r="C19" s="12"/>
      <c r="D19" s="27"/>
      <c r="E19" s="11"/>
      <c r="F19" s="11"/>
      <c r="G19" s="11"/>
      <c r="H19" s="11"/>
      <c r="I19" s="11"/>
      <c r="J19" s="11"/>
      <c r="K19" s="12"/>
    </row>
    <row r="20">
      <c r="A20" s="27"/>
      <c r="B20" s="11"/>
      <c r="C20" s="12"/>
      <c r="D20" s="27"/>
      <c r="E20" s="11"/>
      <c r="F20" s="11"/>
      <c r="G20" s="11"/>
      <c r="H20" s="11"/>
      <c r="I20" s="11"/>
      <c r="J20" s="11"/>
      <c r="K20" s="12"/>
    </row>
    <row r="21">
      <c r="A21" s="27"/>
      <c r="B21" s="11"/>
      <c r="C21" s="12"/>
      <c r="D21" s="27"/>
      <c r="E21" s="11"/>
      <c r="F21" s="11"/>
      <c r="G21" s="11"/>
      <c r="H21" s="11"/>
      <c r="I21" s="11"/>
      <c r="J21" s="11"/>
      <c r="K21" s="12"/>
    </row>
    <row r="22">
      <c r="A22" s="27"/>
      <c r="B22" s="11"/>
      <c r="C22" s="12"/>
      <c r="D22" s="27"/>
      <c r="E22" s="11"/>
      <c r="F22" s="11"/>
      <c r="G22" s="11"/>
      <c r="H22" s="11"/>
      <c r="I22" s="11"/>
      <c r="J22" s="11"/>
      <c r="K22" s="12"/>
    </row>
    <row r="23">
      <c r="A23" s="27"/>
      <c r="B23" s="11"/>
      <c r="C23" s="12"/>
      <c r="D23" s="27"/>
      <c r="E23" s="11"/>
      <c r="F23" s="11"/>
      <c r="G23" s="11"/>
      <c r="H23" s="11"/>
      <c r="I23" s="11"/>
      <c r="J23" s="11"/>
      <c r="K23" s="12"/>
    </row>
    <row r="24">
      <c r="A24" s="28"/>
      <c r="B24" s="28"/>
      <c r="C24" s="18"/>
      <c r="D24" s="18"/>
      <c r="E24" s="18"/>
      <c r="F24" s="18"/>
      <c r="G24" s="18"/>
      <c r="H24" s="18"/>
      <c r="I24" s="15"/>
      <c r="J24" s="15"/>
      <c r="K24" s="15"/>
    </row>
    <row r="25">
      <c r="A25" s="29" t="s">
        <v>12</v>
      </c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>
      <c r="A26" s="30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>
      <c r="A27" s="31" t="s">
        <v>14</v>
      </c>
      <c r="B27" s="11"/>
      <c r="C27" s="11"/>
      <c r="D27" s="11"/>
      <c r="E27" s="11"/>
      <c r="F27" s="11"/>
      <c r="G27" s="11"/>
      <c r="H27" s="11"/>
      <c r="I27" s="11"/>
      <c r="J27" s="11"/>
      <c r="K27" s="1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6" t="s">
        <v>15</v>
      </c>
      <c r="B29" s="11"/>
      <c r="C29" s="11"/>
      <c r="D29" s="12"/>
      <c r="E29" s="32">
        <v>1.0</v>
      </c>
      <c r="F29" s="32">
        <v>2.0</v>
      </c>
      <c r="G29" s="32">
        <v>3.0</v>
      </c>
      <c r="H29" s="32">
        <v>4.0</v>
      </c>
      <c r="I29" s="32">
        <v>5.0</v>
      </c>
      <c r="J29" s="32">
        <v>6.0</v>
      </c>
      <c r="K29" s="32">
        <v>7.0</v>
      </c>
    </row>
    <row r="30">
      <c r="A30" s="33">
        <v>1.0</v>
      </c>
      <c r="B30" s="34" t="s">
        <v>16</v>
      </c>
      <c r="C30" s="11"/>
      <c r="D30" s="12"/>
      <c r="E30" s="35"/>
      <c r="F30" s="35"/>
      <c r="G30" s="35"/>
      <c r="H30" s="35"/>
      <c r="I30" s="35"/>
      <c r="J30" s="36"/>
      <c r="K30" s="36" t="s">
        <v>17</v>
      </c>
    </row>
    <row r="31">
      <c r="A31" s="33">
        <v>2.0</v>
      </c>
      <c r="B31" s="34" t="s">
        <v>18</v>
      </c>
      <c r="C31" s="11"/>
      <c r="D31" s="12"/>
      <c r="E31" s="35"/>
      <c r="F31" s="35"/>
      <c r="G31" s="35"/>
      <c r="H31" s="35"/>
      <c r="I31" s="35"/>
      <c r="J31" s="35"/>
      <c r="K31" s="36" t="s">
        <v>17</v>
      </c>
    </row>
    <row r="32">
      <c r="A32" s="33">
        <v>3.0</v>
      </c>
      <c r="B32" s="34" t="s">
        <v>19</v>
      </c>
      <c r="C32" s="11"/>
      <c r="D32" s="12"/>
      <c r="E32" s="35"/>
      <c r="F32" s="35"/>
      <c r="G32" s="35"/>
      <c r="H32" s="35"/>
      <c r="I32" s="35"/>
      <c r="J32" s="36"/>
      <c r="K32" s="36" t="s">
        <v>17</v>
      </c>
    </row>
    <row r="33">
      <c r="A33" s="37" t="s">
        <v>20</v>
      </c>
      <c r="B33" s="11"/>
      <c r="C33" s="11"/>
      <c r="D33" s="12"/>
      <c r="E33" s="38">
        <f>COUNTA(E30:E32)*1</f>
        <v>0</v>
      </c>
      <c r="F33" s="38">
        <f>COUNTA(F30:F32)*2</f>
        <v>0</v>
      </c>
      <c r="G33" s="38">
        <f>COUNTA(G30:G32)*3</f>
        <v>0</v>
      </c>
      <c r="H33" s="38">
        <f>COUNTA(H30:H32)*4</f>
        <v>0</v>
      </c>
      <c r="I33" s="38">
        <f>COUNTA(I30:I32)*5</f>
        <v>0</v>
      </c>
      <c r="J33" s="38">
        <f>COUNTA(J30:J32)*6</f>
        <v>0</v>
      </c>
      <c r="K33" s="38">
        <f>COUNTA(K30:K32)*7</f>
        <v>21</v>
      </c>
    </row>
    <row r="34">
      <c r="A34" s="37" t="s">
        <v>21</v>
      </c>
      <c r="B34" s="11"/>
      <c r="C34" s="11"/>
      <c r="D34" s="12"/>
      <c r="E34" s="39">
        <f>IF(SUM(E33:K33)=0,0,((SUM(E33:K33)-3)/(21-3)))</f>
        <v>1</v>
      </c>
      <c r="F34" s="11"/>
      <c r="G34" s="11"/>
      <c r="H34" s="11"/>
      <c r="I34" s="11"/>
      <c r="J34" s="11"/>
      <c r="K34" s="12"/>
    </row>
    <row r="35">
      <c r="A35" s="16" t="s">
        <v>22</v>
      </c>
      <c r="B35" s="11"/>
      <c r="C35" s="11"/>
      <c r="D35" s="12"/>
      <c r="E35" s="32">
        <v>1.0</v>
      </c>
      <c r="F35" s="32">
        <v>2.0</v>
      </c>
      <c r="G35" s="32">
        <v>3.0</v>
      </c>
      <c r="H35" s="32">
        <v>4.0</v>
      </c>
      <c r="I35" s="32">
        <v>5.0</v>
      </c>
      <c r="J35" s="32">
        <v>6.0</v>
      </c>
      <c r="K35" s="32">
        <v>7.0</v>
      </c>
    </row>
    <row r="36">
      <c r="A36" s="33">
        <v>4.0</v>
      </c>
      <c r="B36" s="34" t="s">
        <v>23</v>
      </c>
      <c r="C36" s="11"/>
      <c r="D36" s="12"/>
      <c r="E36" s="35"/>
      <c r="F36" s="35"/>
      <c r="G36" s="35"/>
      <c r="H36" s="35"/>
      <c r="I36" s="35"/>
      <c r="J36" s="35"/>
      <c r="K36" s="36" t="s">
        <v>17</v>
      </c>
    </row>
    <row r="37">
      <c r="A37" s="33">
        <v>5.0</v>
      </c>
      <c r="B37" s="34" t="s">
        <v>24</v>
      </c>
      <c r="C37" s="11"/>
      <c r="D37" s="12"/>
      <c r="E37" s="35"/>
      <c r="F37" s="35"/>
      <c r="G37" s="35"/>
      <c r="H37" s="35"/>
      <c r="I37" s="36"/>
      <c r="J37" s="36" t="s">
        <v>17</v>
      </c>
      <c r="K37" s="35"/>
    </row>
    <row r="38">
      <c r="A38" s="33">
        <v>6.0</v>
      </c>
      <c r="B38" s="34" t="s">
        <v>25</v>
      </c>
      <c r="C38" s="11"/>
      <c r="D38" s="12"/>
      <c r="E38" s="35"/>
      <c r="F38" s="35"/>
      <c r="G38" s="35"/>
      <c r="H38" s="35"/>
      <c r="I38" s="35"/>
      <c r="J38" s="36" t="s">
        <v>17</v>
      </c>
      <c r="K38" s="35"/>
    </row>
    <row r="39">
      <c r="A39" s="37" t="s">
        <v>26</v>
      </c>
      <c r="B39" s="11"/>
      <c r="C39" s="11"/>
      <c r="D39" s="12"/>
      <c r="E39" s="38">
        <f>COUNTA(E36:E38)*1</f>
        <v>0</v>
      </c>
      <c r="F39" s="38">
        <f>COUNTA(F36:F38)*2</f>
        <v>0</v>
      </c>
      <c r="G39" s="38">
        <f>COUNTA(G36:G38)*3</f>
        <v>0</v>
      </c>
      <c r="H39" s="38">
        <f>COUNTA(H36:H38)*4</f>
        <v>0</v>
      </c>
      <c r="I39" s="38">
        <f>COUNTA(I36:I38)*5</f>
        <v>0</v>
      </c>
      <c r="J39" s="38">
        <f>COUNTA(J36:J38)*6</f>
        <v>12</v>
      </c>
      <c r="K39" s="38">
        <f>COUNTA(K36:K38)*7</f>
        <v>7</v>
      </c>
    </row>
    <row r="40">
      <c r="A40" s="37" t="s">
        <v>27</v>
      </c>
      <c r="B40" s="11"/>
      <c r="C40" s="11"/>
      <c r="D40" s="12"/>
      <c r="E40" s="39">
        <f>IF(SUM(E39:K39)=0,0,((SUM(E39:K39)-3)/(21-3)))</f>
        <v>0.8888888889</v>
      </c>
      <c r="F40" s="11"/>
      <c r="G40" s="11"/>
      <c r="H40" s="11"/>
      <c r="I40" s="11"/>
      <c r="J40" s="11"/>
      <c r="K40" s="12"/>
    </row>
    <row r="41">
      <c r="A41" s="16" t="s">
        <v>28</v>
      </c>
      <c r="B41" s="11"/>
      <c r="C41" s="11"/>
      <c r="D41" s="12"/>
      <c r="E41" s="32">
        <v>1.0</v>
      </c>
      <c r="F41" s="32">
        <v>2.0</v>
      </c>
      <c r="G41" s="32">
        <v>3.0</v>
      </c>
      <c r="H41" s="32">
        <v>4.0</v>
      </c>
      <c r="I41" s="32">
        <v>5.0</v>
      </c>
      <c r="J41" s="32">
        <v>6.0</v>
      </c>
      <c r="K41" s="32">
        <v>7.0</v>
      </c>
    </row>
    <row r="42">
      <c r="A42" s="33">
        <v>7.0</v>
      </c>
      <c r="B42" s="34" t="s">
        <v>29</v>
      </c>
      <c r="C42" s="11"/>
      <c r="D42" s="12"/>
      <c r="E42" s="35"/>
      <c r="F42" s="35"/>
      <c r="G42" s="35"/>
      <c r="H42" s="35"/>
      <c r="I42" s="35"/>
      <c r="J42" s="35"/>
      <c r="K42" s="36" t="s">
        <v>17</v>
      </c>
    </row>
    <row r="43">
      <c r="A43" s="33">
        <v>8.0</v>
      </c>
      <c r="B43" s="34" t="s">
        <v>30</v>
      </c>
      <c r="C43" s="11"/>
      <c r="D43" s="12"/>
      <c r="E43" s="35"/>
      <c r="F43" s="35"/>
      <c r="G43" s="35"/>
      <c r="H43" s="35"/>
      <c r="I43" s="35"/>
      <c r="J43" s="36" t="s">
        <v>17</v>
      </c>
      <c r="K43" s="35"/>
    </row>
    <row r="44">
      <c r="A44" s="33">
        <v>9.0</v>
      </c>
      <c r="B44" s="34" t="s">
        <v>31</v>
      </c>
      <c r="C44" s="11"/>
      <c r="D44" s="12"/>
      <c r="E44" s="35"/>
      <c r="F44" s="35"/>
      <c r="G44" s="35"/>
      <c r="H44" s="35"/>
      <c r="I44" s="35"/>
      <c r="J44" s="36" t="s">
        <v>17</v>
      </c>
      <c r="K44" s="35"/>
    </row>
    <row r="45">
      <c r="A45" s="33">
        <v>10.0</v>
      </c>
      <c r="B45" s="34" t="s">
        <v>32</v>
      </c>
      <c r="C45" s="11"/>
      <c r="D45" s="12"/>
      <c r="E45" s="35"/>
      <c r="F45" s="35"/>
      <c r="G45" s="35"/>
      <c r="H45" s="35"/>
      <c r="I45" s="35"/>
      <c r="J45" s="36" t="s">
        <v>17</v>
      </c>
      <c r="K45" s="35"/>
    </row>
    <row r="46">
      <c r="A46" s="33">
        <v>11.0</v>
      </c>
      <c r="B46" s="34" t="s">
        <v>33</v>
      </c>
      <c r="C46" s="11"/>
      <c r="D46" s="12"/>
      <c r="E46" s="35"/>
      <c r="F46" s="35"/>
      <c r="G46" s="35"/>
      <c r="H46" s="35"/>
      <c r="I46" s="35"/>
      <c r="J46" s="35"/>
      <c r="K46" s="36" t="s">
        <v>17</v>
      </c>
    </row>
    <row r="47">
      <c r="A47" s="33">
        <v>12.0</v>
      </c>
      <c r="B47" s="34" t="s">
        <v>34</v>
      </c>
      <c r="C47" s="11"/>
      <c r="D47" s="12"/>
      <c r="E47" s="35"/>
      <c r="F47" s="35"/>
      <c r="G47" s="35"/>
      <c r="H47" s="35"/>
      <c r="I47" s="35"/>
      <c r="J47" s="36" t="s">
        <v>17</v>
      </c>
      <c r="K47" s="35"/>
    </row>
    <row r="48">
      <c r="A48" s="33">
        <v>13.0</v>
      </c>
      <c r="B48" s="34" t="s">
        <v>35</v>
      </c>
      <c r="C48" s="11"/>
      <c r="D48" s="12"/>
      <c r="E48" s="35"/>
      <c r="F48" s="35"/>
      <c r="G48" s="35"/>
      <c r="H48" s="35"/>
      <c r="I48" s="35"/>
      <c r="J48" s="36" t="s">
        <v>17</v>
      </c>
      <c r="K48" s="35"/>
    </row>
    <row r="49">
      <c r="A49" s="33">
        <v>14.0</v>
      </c>
      <c r="B49" s="34" t="s">
        <v>36</v>
      </c>
      <c r="C49" s="11"/>
      <c r="D49" s="12"/>
      <c r="E49" s="35"/>
      <c r="F49" s="35"/>
      <c r="G49" s="35"/>
      <c r="H49" s="36"/>
      <c r="I49" s="35"/>
      <c r="J49" s="36" t="s">
        <v>17</v>
      </c>
      <c r="K49" s="35"/>
    </row>
    <row r="50">
      <c r="A50" s="37" t="s">
        <v>37</v>
      </c>
      <c r="B50" s="11"/>
      <c r="C50" s="11"/>
      <c r="D50" s="12"/>
      <c r="E50" s="38">
        <f>COUNTA(E42:E49)*1</f>
        <v>0</v>
      </c>
      <c r="F50" s="38">
        <f>COUNTA(F42:F49)*2</f>
        <v>0</v>
      </c>
      <c r="G50" s="38">
        <f>COUNTA(G42:G49)*3</f>
        <v>0</v>
      </c>
      <c r="H50" s="38">
        <f>COUNTA(H42:H49)*4</f>
        <v>0</v>
      </c>
      <c r="I50" s="38">
        <f>COUNTA(I42:I49)*5</f>
        <v>0</v>
      </c>
      <c r="J50" s="38">
        <f>COUNTA(J42:J49)*6</f>
        <v>36</v>
      </c>
      <c r="K50" s="38">
        <f>COUNTA(K42:K49)*7</f>
        <v>14</v>
      </c>
    </row>
    <row r="51">
      <c r="A51" s="37" t="s">
        <v>38</v>
      </c>
      <c r="B51" s="11"/>
      <c r="C51" s="11"/>
      <c r="D51" s="12"/>
      <c r="E51" s="39">
        <f>IF(SUM(E50:K50)=0,0,((SUM(E50:K50)-8)/(56-8)))</f>
        <v>0.875</v>
      </c>
      <c r="F51" s="11"/>
      <c r="G51" s="11"/>
      <c r="H51" s="11"/>
      <c r="I51" s="11"/>
      <c r="J51" s="11"/>
      <c r="K51" s="12"/>
    </row>
    <row r="52">
      <c r="A52" s="16" t="s">
        <v>39</v>
      </c>
      <c r="B52" s="11"/>
      <c r="C52" s="11"/>
      <c r="D52" s="12"/>
      <c r="E52" s="32">
        <v>1.0</v>
      </c>
      <c r="F52" s="32">
        <v>2.0</v>
      </c>
      <c r="G52" s="32">
        <v>3.0</v>
      </c>
      <c r="H52" s="32">
        <v>4.0</v>
      </c>
      <c r="I52" s="32">
        <v>5.0</v>
      </c>
      <c r="J52" s="32">
        <v>6.0</v>
      </c>
      <c r="K52" s="32">
        <v>7.0</v>
      </c>
    </row>
    <row r="53">
      <c r="A53" s="33">
        <v>15.0</v>
      </c>
      <c r="B53" s="34" t="s">
        <v>40</v>
      </c>
      <c r="C53" s="11"/>
      <c r="D53" s="12"/>
      <c r="E53" s="35"/>
      <c r="F53" s="35"/>
      <c r="G53" s="35"/>
      <c r="H53" s="35"/>
      <c r="I53" s="36" t="s">
        <v>17</v>
      </c>
      <c r="J53" s="35"/>
      <c r="K53" s="35"/>
    </row>
    <row r="54">
      <c r="A54" s="33">
        <v>16.0</v>
      </c>
      <c r="B54" s="34" t="s">
        <v>41</v>
      </c>
      <c r="C54" s="11"/>
      <c r="D54" s="12"/>
      <c r="E54" s="35"/>
      <c r="F54" s="35"/>
      <c r="G54" s="35"/>
      <c r="H54" s="35"/>
      <c r="I54" s="35"/>
      <c r="J54" s="36"/>
      <c r="K54" s="36" t="s">
        <v>17</v>
      </c>
    </row>
    <row r="55">
      <c r="A55" s="33">
        <v>17.0</v>
      </c>
      <c r="B55" s="34" t="s">
        <v>42</v>
      </c>
      <c r="C55" s="11"/>
      <c r="D55" s="12"/>
      <c r="E55" s="35"/>
      <c r="F55" s="35"/>
      <c r="G55" s="35"/>
      <c r="H55" s="35"/>
      <c r="I55" s="36" t="s">
        <v>17</v>
      </c>
      <c r="J55" s="35"/>
      <c r="K55" s="35"/>
    </row>
    <row r="56">
      <c r="A56" s="37" t="s">
        <v>43</v>
      </c>
      <c r="B56" s="11"/>
      <c r="C56" s="11"/>
      <c r="D56" s="12"/>
      <c r="E56" s="38">
        <f>COUNTA(E53:E55)*1</f>
        <v>0</v>
      </c>
      <c r="F56" s="38">
        <f>COUNTA(F53:F55)*2</f>
        <v>0</v>
      </c>
      <c r="G56" s="38">
        <f>COUNTA(G53:G55)*3</f>
        <v>0</v>
      </c>
      <c r="H56" s="38">
        <f>COUNTA(H53:H55)*4</f>
        <v>0</v>
      </c>
      <c r="I56" s="38">
        <f>COUNTA(I53:I55)*5</f>
        <v>10</v>
      </c>
      <c r="J56" s="38">
        <f>COUNTA(J53:J55)*6</f>
        <v>0</v>
      </c>
      <c r="K56" s="38">
        <f>COUNTA(K53:K55)*7</f>
        <v>7</v>
      </c>
    </row>
    <row r="57">
      <c r="A57" s="37" t="s">
        <v>44</v>
      </c>
      <c r="B57" s="11"/>
      <c r="C57" s="11"/>
      <c r="D57" s="12"/>
      <c r="E57" s="39">
        <f>IF(SUM(E56:K56)=0,0,((SUM(E56:K56)-3)/(21-3)))</f>
        <v>0.7777777778</v>
      </c>
      <c r="F57" s="11"/>
      <c r="G57" s="11"/>
      <c r="H57" s="11"/>
      <c r="I57" s="11"/>
      <c r="J57" s="11"/>
      <c r="K57" s="12"/>
    </row>
    <row r="58">
      <c r="A58" s="16" t="s">
        <v>45</v>
      </c>
      <c r="B58" s="11"/>
      <c r="C58" s="11"/>
      <c r="D58" s="12"/>
      <c r="E58" s="32">
        <v>1.0</v>
      </c>
      <c r="F58" s="32">
        <v>2.0</v>
      </c>
      <c r="G58" s="32">
        <v>3.0</v>
      </c>
      <c r="H58" s="32">
        <v>4.0</v>
      </c>
      <c r="I58" s="32">
        <v>5.0</v>
      </c>
      <c r="J58" s="32">
        <v>6.0</v>
      </c>
      <c r="K58" s="32">
        <v>7.0</v>
      </c>
    </row>
    <row r="59">
      <c r="A59" s="33">
        <v>18.0</v>
      </c>
      <c r="B59" s="34" t="s">
        <v>46</v>
      </c>
      <c r="C59" s="11"/>
      <c r="D59" s="12"/>
      <c r="E59" s="35"/>
      <c r="F59" s="35"/>
      <c r="G59" s="35"/>
      <c r="H59" s="35"/>
      <c r="I59" s="35"/>
      <c r="J59" s="36"/>
      <c r="K59" s="36" t="s">
        <v>17</v>
      </c>
    </row>
    <row r="60">
      <c r="A60" s="33">
        <v>19.0</v>
      </c>
      <c r="B60" s="34" t="s">
        <v>47</v>
      </c>
      <c r="C60" s="11"/>
      <c r="D60" s="12"/>
      <c r="E60" s="35"/>
      <c r="F60" s="35"/>
      <c r="G60" s="35"/>
      <c r="H60" s="35"/>
      <c r="I60" s="36"/>
      <c r="J60" s="36"/>
      <c r="K60" s="36" t="s">
        <v>17</v>
      </c>
    </row>
    <row r="61">
      <c r="A61" s="33">
        <v>20.0</v>
      </c>
      <c r="B61" s="34" t="s">
        <v>48</v>
      </c>
      <c r="C61" s="11"/>
      <c r="D61" s="12"/>
      <c r="E61" s="35"/>
      <c r="F61" s="35"/>
      <c r="G61" s="35"/>
      <c r="H61" s="35"/>
      <c r="I61" s="35"/>
      <c r="J61" s="36"/>
      <c r="K61" s="36" t="s">
        <v>17</v>
      </c>
    </row>
    <row r="62">
      <c r="A62" s="33">
        <v>21.0</v>
      </c>
      <c r="B62" s="34" t="s">
        <v>49</v>
      </c>
      <c r="C62" s="11"/>
      <c r="D62" s="12"/>
      <c r="E62" s="35"/>
      <c r="F62" s="35"/>
      <c r="G62" s="35"/>
      <c r="H62" s="35"/>
      <c r="I62" s="35"/>
      <c r="J62" s="36"/>
      <c r="K62" s="36" t="s">
        <v>17</v>
      </c>
    </row>
    <row r="63">
      <c r="A63" s="37" t="s">
        <v>50</v>
      </c>
      <c r="B63" s="11"/>
      <c r="C63" s="11"/>
      <c r="D63" s="12"/>
      <c r="E63" s="38">
        <f>COUNTA(E59:E62)*1</f>
        <v>0</v>
      </c>
      <c r="F63" s="38">
        <f>COUNTA(F59:F62)*2</f>
        <v>0</v>
      </c>
      <c r="G63" s="38">
        <f>COUNTA(G59:G62)*3</f>
        <v>0</v>
      </c>
      <c r="H63" s="38">
        <f>COUNTA(H59:H62)*4</f>
        <v>0</v>
      </c>
      <c r="I63" s="38">
        <f>COUNTA(I59:I62)*5</f>
        <v>0</v>
      </c>
      <c r="J63" s="38">
        <f>COUNTA(J59:J62)*6</f>
        <v>0</v>
      </c>
      <c r="K63" s="38">
        <f>COUNTA(K59:K62)*7</f>
        <v>28</v>
      </c>
    </row>
    <row r="64">
      <c r="A64" s="37" t="s">
        <v>51</v>
      </c>
      <c r="B64" s="11"/>
      <c r="C64" s="11"/>
      <c r="D64" s="12"/>
      <c r="E64" s="39">
        <f>IF(SUM(E63:K63)=0,0,((SUM(E63:K63)-4)/(28-4)))</f>
        <v>1</v>
      </c>
      <c r="F64" s="11"/>
      <c r="G64" s="11"/>
      <c r="H64" s="11"/>
      <c r="I64" s="11"/>
      <c r="J64" s="11"/>
      <c r="K64" s="12"/>
    </row>
    <row r="65">
      <c r="A65" s="16" t="s">
        <v>52</v>
      </c>
      <c r="B65" s="11"/>
      <c r="C65" s="11"/>
      <c r="D65" s="12"/>
      <c r="E65" s="32">
        <v>1.0</v>
      </c>
      <c r="F65" s="32">
        <v>2.0</v>
      </c>
      <c r="G65" s="32">
        <v>3.0</v>
      </c>
      <c r="H65" s="32">
        <v>4.0</v>
      </c>
      <c r="I65" s="32">
        <v>5.0</v>
      </c>
      <c r="J65" s="32">
        <v>6.0</v>
      </c>
      <c r="K65" s="32">
        <v>7.0</v>
      </c>
    </row>
    <row r="66">
      <c r="A66" s="33">
        <v>22.0</v>
      </c>
      <c r="B66" s="34" t="s">
        <v>53</v>
      </c>
      <c r="C66" s="11"/>
      <c r="D66" s="12"/>
      <c r="E66" s="35"/>
      <c r="F66" s="35"/>
      <c r="G66" s="35"/>
      <c r="H66" s="35"/>
      <c r="I66" s="35"/>
      <c r="J66" s="36" t="s">
        <v>17</v>
      </c>
      <c r="K66" s="35"/>
    </row>
    <row r="67">
      <c r="A67" s="33">
        <v>23.0</v>
      </c>
      <c r="B67" s="34" t="s">
        <v>54</v>
      </c>
      <c r="C67" s="11"/>
      <c r="D67" s="12"/>
      <c r="E67" s="35"/>
      <c r="F67" s="35"/>
      <c r="G67" s="35"/>
      <c r="H67" s="35"/>
      <c r="I67" s="35"/>
      <c r="J67" s="35"/>
      <c r="K67" s="36" t="s">
        <v>17</v>
      </c>
    </row>
    <row r="68">
      <c r="A68" s="37" t="s">
        <v>55</v>
      </c>
      <c r="B68" s="11"/>
      <c r="C68" s="11"/>
      <c r="D68" s="12"/>
      <c r="E68" s="38">
        <f>COUNTA(E66:E67)*1</f>
        <v>0</v>
      </c>
      <c r="F68" s="38">
        <f>COUNTA(F66:F67)*2</f>
        <v>0</v>
      </c>
      <c r="G68" s="38">
        <f>COUNTA(G66:G67)*3</f>
        <v>0</v>
      </c>
      <c r="H68" s="38">
        <f>COUNTA(H66:H67)*4</f>
        <v>0</v>
      </c>
      <c r="I68" s="38">
        <f>COUNTA(I66:I67)*5</f>
        <v>0</v>
      </c>
      <c r="J68" s="38">
        <f>COUNTA(J66:J67)*6</f>
        <v>6</v>
      </c>
      <c r="K68" s="38">
        <f>COUNTA(K66:K67)*7</f>
        <v>7</v>
      </c>
    </row>
    <row r="69">
      <c r="A69" s="37" t="s">
        <v>56</v>
      </c>
      <c r="B69" s="11"/>
      <c r="C69" s="11"/>
      <c r="D69" s="12"/>
      <c r="E69" s="39">
        <f>IF(SUM(E68:K68)=0,0,((SUM(E68:K68)-2)/(14-2)))</f>
        <v>0.9166666667</v>
      </c>
      <c r="F69" s="11"/>
      <c r="G69" s="11"/>
      <c r="H69" s="11"/>
      <c r="I69" s="11"/>
      <c r="J69" s="11"/>
      <c r="K69" s="12"/>
    </row>
    <row r="70">
      <c r="A70" s="16" t="s">
        <v>57</v>
      </c>
      <c r="B70" s="11"/>
      <c r="C70" s="11"/>
      <c r="D70" s="12"/>
      <c r="E70" s="32">
        <v>1.0</v>
      </c>
      <c r="F70" s="32">
        <v>2.0</v>
      </c>
      <c r="G70" s="32">
        <v>3.0</v>
      </c>
      <c r="H70" s="32">
        <v>4.0</v>
      </c>
      <c r="I70" s="32">
        <v>5.0</v>
      </c>
      <c r="J70" s="32">
        <v>6.0</v>
      </c>
      <c r="K70" s="32">
        <v>7.0</v>
      </c>
    </row>
    <row r="71">
      <c r="A71" s="33">
        <v>1.0</v>
      </c>
      <c r="B71" s="34" t="s">
        <v>58</v>
      </c>
      <c r="C71" s="11"/>
      <c r="D71" s="12"/>
      <c r="E71" s="35"/>
      <c r="F71" s="35"/>
      <c r="G71" s="35"/>
      <c r="H71" s="35"/>
      <c r="I71" s="35"/>
      <c r="J71" s="35"/>
      <c r="K71" s="36" t="s">
        <v>17</v>
      </c>
    </row>
    <row r="72">
      <c r="A72" s="33">
        <v>2.0</v>
      </c>
      <c r="B72" s="40" t="s">
        <v>59</v>
      </c>
      <c r="C72" s="11"/>
      <c r="D72" s="12"/>
      <c r="E72" s="41" t="s">
        <v>60</v>
      </c>
      <c r="F72" s="42" t="s">
        <v>17</v>
      </c>
      <c r="G72" s="43" t="s">
        <v>61</v>
      </c>
      <c r="H72" s="12"/>
      <c r="I72" s="41"/>
      <c r="J72" s="41" t="s">
        <v>62</v>
      </c>
      <c r="K72" s="41"/>
    </row>
    <row r="73">
      <c r="A73" s="44"/>
      <c r="B73" s="44"/>
      <c r="C73" s="45"/>
      <c r="D73" s="45"/>
      <c r="E73" s="45"/>
      <c r="F73" s="45"/>
      <c r="G73" s="45"/>
      <c r="H73" s="45"/>
      <c r="I73" s="45"/>
      <c r="J73" s="45"/>
      <c r="K73" s="44"/>
    </row>
    <row r="74">
      <c r="A74" s="46" t="s">
        <v>63</v>
      </c>
      <c r="B74" s="47"/>
      <c r="C74" s="48" t="s">
        <v>64</v>
      </c>
      <c r="D74" s="12"/>
      <c r="E74" s="32">
        <v>1.0</v>
      </c>
      <c r="F74" s="32">
        <v>2.0</v>
      </c>
      <c r="G74" s="32">
        <v>3.0</v>
      </c>
      <c r="H74" s="32">
        <v>4.0</v>
      </c>
      <c r="I74" s="32">
        <v>5.0</v>
      </c>
      <c r="J74" s="32">
        <v>6.0</v>
      </c>
      <c r="K74" s="49"/>
    </row>
    <row r="75">
      <c r="A75" s="50"/>
      <c r="B75" s="51"/>
      <c r="C75" s="52" t="s">
        <v>65</v>
      </c>
      <c r="D75" s="12"/>
      <c r="E75" s="53">
        <f>E34</f>
        <v>1</v>
      </c>
      <c r="F75" s="53">
        <f>E40</f>
        <v>0.8888888889</v>
      </c>
      <c r="G75" s="53">
        <f>E51</f>
        <v>0.875</v>
      </c>
      <c r="H75" s="53">
        <f>E57</f>
        <v>0.7777777778</v>
      </c>
      <c r="I75" s="53">
        <f>E64</f>
        <v>1</v>
      </c>
      <c r="J75" s="53">
        <f>E69</f>
        <v>0.9166666667</v>
      </c>
      <c r="K75" s="54"/>
    </row>
    <row r="76">
      <c r="A76" s="50"/>
      <c r="B76" s="51"/>
      <c r="C76" s="52" t="s">
        <v>66</v>
      </c>
      <c r="D76" s="12"/>
      <c r="E76" s="55">
        <f>SUM(E75:J75)/6</f>
        <v>0.9097222222</v>
      </c>
      <c r="F76" s="11"/>
      <c r="G76" s="11"/>
      <c r="H76" s="11"/>
      <c r="I76" s="11"/>
      <c r="J76" s="12"/>
      <c r="K76" s="54"/>
    </row>
    <row r="77">
      <c r="A77" s="50"/>
      <c r="B77" s="56"/>
      <c r="C77" s="56"/>
      <c r="D77" s="56"/>
      <c r="E77" s="54"/>
      <c r="F77" s="54"/>
      <c r="G77" s="54"/>
      <c r="H77" s="54"/>
      <c r="I77" s="50"/>
      <c r="J77" s="50"/>
      <c r="K77" s="50"/>
    </row>
    <row r="78">
      <c r="A78" s="57"/>
      <c r="B78" s="58" t="s">
        <v>67</v>
      </c>
      <c r="C78" s="59" t="str">
        <f>IF(AND(E76&gt;85%,E51&gt;60%,E69&gt;60%)=TRUE,"Muy recomendada",IF(E76&gt;60%,"Recomendada",IF(E76&gt;30%,"Recomendada con condiciones o modificaciones","No recomendada")))</f>
        <v>Muy recomendada</v>
      </c>
      <c r="D78" s="60"/>
      <c r="E78" s="54"/>
      <c r="F78" s="54"/>
      <c r="G78" s="54"/>
      <c r="H78" s="54"/>
      <c r="I78" s="50"/>
      <c r="J78" s="50"/>
      <c r="K78" s="50"/>
    </row>
  </sheetData>
  <mergeCells count="91"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E51:K51"/>
    <mergeCell ref="A52:D52"/>
    <mergeCell ref="B53:D53"/>
    <mergeCell ref="B54:D54"/>
    <mergeCell ref="B55:D55"/>
    <mergeCell ref="A56:D56"/>
    <mergeCell ref="A57:D57"/>
    <mergeCell ref="E57:K57"/>
    <mergeCell ref="A58:D58"/>
    <mergeCell ref="B59:D59"/>
    <mergeCell ref="B60:D60"/>
    <mergeCell ref="B61:D61"/>
    <mergeCell ref="B62:D62"/>
    <mergeCell ref="A63:D63"/>
    <mergeCell ref="A64:D64"/>
    <mergeCell ref="E64:K64"/>
    <mergeCell ref="B71:D71"/>
    <mergeCell ref="B72:D72"/>
    <mergeCell ref="G72:H72"/>
    <mergeCell ref="C74:D74"/>
    <mergeCell ref="C75:D75"/>
    <mergeCell ref="C76:D76"/>
    <mergeCell ref="E76:J76"/>
    <mergeCell ref="C78:D78"/>
    <mergeCell ref="A65:D65"/>
    <mergeCell ref="B66:D66"/>
    <mergeCell ref="B67:D67"/>
    <mergeCell ref="A68:D68"/>
    <mergeCell ref="A69:D69"/>
    <mergeCell ref="E69:K69"/>
    <mergeCell ref="A70:D70"/>
    <mergeCell ref="A2:B4"/>
    <mergeCell ref="C2:H4"/>
    <mergeCell ref="I2:K2"/>
    <mergeCell ref="I3:K3"/>
    <mergeCell ref="I4:K4"/>
    <mergeCell ref="A6:F6"/>
    <mergeCell ref="G6:K6"/>
    <mergeCell ref="A8:K8"/>
    <mergeCell ref="A9:K9"/>
    <mergeCell ref="A11:K12"/>
    <mergeCell ref="A13:C13"/>
    <mergeCell ref="D13:K13"/>
    <mergeCell ref="A14:C14"/>
    <mergeCell ref="D14:K14"/>
    <mergeCell ref="A18:C18"/>
    <mergeCell ref="A19:C19"/>
    <mergeCell ref="A20:C20"/>
    <mergeCell ref="A21:C21"/>
    <mergeCell ref="A22:C22"/>
    <mergeCell ref="A23:C23"/>
    <mergeCell ref="A15:C15"/>
    <mergeCell ref="D15:K15"/>
    <mergeCell ref="A16:C16"/>
    <mergeCell ref="D16:K16"/>
    <mergeCell ref="A17:C17"/>
    <mergeCell ref="D17:K17"/>
    <mergeCell ref="D18:K18"/>
    <mergeCell ref="D19:K19"/>
    <mergeCell ref="D20:K20"/>
    <mergeCell ref="D21:K21"/>
    <mergeCell ref="D22:K22"/>
    <mergeCell ref="D23:K23"/>
    <mergeCell ref="A25:K25"/>
    <mergeCell ref="A26:K26"/>
    <mergeCell ref="A27:K27"/>
    <mergeCell ref="A29:D29"/>
    <mergeCell ref="B30:D30"/>
    <mergeCell ref="B31:D31"/>
    <mergeCell ref="B32:D32"/>
    <mergeCell ref="A33:D33"/>
    <mergeCell ref="E34:K34"/>
    <mergeCell ref="A34:D34"/>
    <mergeCell ref="A35:D35"/>
    <mergeCell ref="B36:D36"/>
    <mergeCell ref="B37:D37"/>
    <mergeCell ref="B38:D38"/>
    <mergeCell ref="A39:D39"/>
    <mergeCell ref="E40:K40"/>
  </mergeCells>
  <drawing r:id="rId1"/>
</worksheet>
</file>